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9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atea-my.sharepoint.com/personal/axel_boeg_andersen_atea_dk/Documents/PowerApps/Medarbejder/"/>
    </mc:Choice>
  </mc:AlternateContent>
  <xr:revisionPtr revIDLastSave="14" documentId="8_{2BA59DC8-34FC-44CA-B036-99FFC80643E2}" xr6:coauthVersionLast="46" xr6:coauthVersionMax="46" xr10:uidLastSave="{6FEA9712-16C5-4EC3-8E13-658B80293F11}"/>
  <bookViews>
    <workbookView xWindow="28170" yWindow="3255" windowWidth="23430" windowHeight="14040" activeTab="3" xr2:uid="{00000000-000D-0000-FFFF-FFFF00000000}"/>
  </bookViews>
  <sheets>
    <sheet name="Opslag" sheetId="15" r:id="rId1"/>
    <sheet name="Set-up" sheetId="12" state="hidden" r:id="rId2"/>
    <sheet name="Standard" sheetId="13" state="hidden" r:id="rId3"/>
    <sheet name="New Employee" sheetId="16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3" i="15" l="1"/>
  <c r="V4" i="15"/>
  <c r="V5" i="15"/>
  <c r="V6" i="15"/>
  <c r="V7" i="15"/>
  <c r="V8" i="15"/>
  <c r="V9" i="15"/>
  <c r="V10" i="15"/>
  <c r="V11" i="15"/>
  <c r="V12" i="15"/>
  <c r="V13" i="15"/>
  <c r="V14" i="15"/>
  <c r="V15" i="15"/>
  <c r="V2" i="15"/>
  <c r="A1" i="16" l="1"/>
  <c r="A1" i="13" l="1"/>
  <c r="V17" i="15" l="1"/>
  <c r="V18" i="15"/>
  <c r="V19" i="15"/>
  <c r="V20" i="15"/>
  <c r="V21" i="15"/>
  <c r="V22" i="15"/>
  <c r="V23" i="15"/>
  <c r="V24" i="15"/>
  <c r="V25" i="15"/>
  <c r="V26" i="15"/>
  <c r="V27" i="15"/>
  <c r="V28" i="15"/>
  <c r="V29" i="15"/>
  <c r="V30" i="15"/>
  <c r="V31" i="15"/>
  <c r="V32" i="15"/>
  <c r="V33" i="15"/>
  <c r="V34" i="15"/>
  <c r="V35" i="15"/>
  <c r="V36" i="15"/>
  <c r="V37" i="15"/>
  <c r="V38" i="15"/>
  <c r="V39" i="15"/>
  <c r="V40" i="15"/>
  <c r="V41" i="15"/>
  <c r="V42" i="15"/>
  <c r="V43" i="15"/>
  <c r="V44" i="15"/>
  <c r="V45" i="15"/>
  <c r="V46" i="15"/>
  <c r="V47" i="15"/>
  <c r="V48" i="15"/>
  <c r="V49" i="15"/>
  <c r="V50" i="15"/>
  <c r="V51" i="15"/>
  <c r="V52" i="15"/>
  <c r="V53" i="15"/>
  <c r="V54" i="15"/>
  <c r="V55" i="15"/>
  <c r="V56" i="15"/>
  <c r="V57" i="15"/>
  <c r="V58" i="15"/>
  <c r="V59" i="15"/>
  <c r="V60" i="15"/>
  <c r="V61" i="15"/>
  <c r="V62" i="15"/>
  <c r="V63" i="15"/>
  <c r="V64" i="15"/>
  <c r="V65" i="15"/>
  <c r="V66" i="15"/>
  <c r="V67" i="15"/>
  <c r="V68" i="15"/>
  <c r="V69" i="15"/>
  <c r="V70" i="15"/>
  <c r="V71" i="15"/>
  <c r="V72" i="15"/>
  <c r="V73" i="15"/>
  <c r="V74" i="15"/>
  <c r="V75" i="15"/>
  <c r="V76" i="15"/>
  <c r="V77" i="15"/>
  <c r="V78" i="15"/>
  <c r="V79" i="15"/>
  <c r="V80" i="15"/>
  <c r="V81" i="15"/>
  <c r="V82" i="15"/>
  <c r="V83" i="15"/>
  <c r="V84" i="15"/>
  <c r="V85" i="15"/>
  <c r="V86" i="15"/>
  <c r="V87" i="15"/>
  <c r="V88" i="15"/>
  <c r="V89" i="15"/>
  <c r="V90" i="15"/>
  <c r="V91" i="15"/>
  <c r="V92" i="15"/>
  <c r="V93" i="15"/>
  <c r="V94" i="15"/>
  <c r="V95" i="15"/>
  <c r="V96" i="15"/>
  <c r="V97" i="15"/>
  <c r="V98" i="15"/>
  <c r="V99" i="15"/>
  <c r="V100" i="15"/>
  <c r="V101" i="15"/>
  <c r="V102" i="15"/>
  <c r="V103" i="15"/>
  <c r="V104" i="15"/>
  <c r="V105" i="15"/>
  <c r="V106" i="15"/>
  <c r="V107" i="15"/>
  <c r="V108" i="15"/>
  <c r="V109" i="15"/>
  <c r="V110" i="15"/>
  <c r="V111" i="15"/>
  <c r="V112" i="15"/>
  <c r="V113" i="15"/>
  <c r="V114" i="15"/>
  <c r="V115" i="15"/>
  <c r="V116" i="15"/>
  <c r="V117" i="15"/>
  <c r="V118" i="15"/>
  <c r="V119" i="15"/>
  <c r="V120" i="15"/>
  <c r="V121" i="15"/>
  <c r="V122" i="15"/>
  <c r="V123" i="15"/>
  <c r="V124" i="15"/>
  <c r="V125" i="15"/>
  <c r="V126" i="15"/>
  <c r="V127" i="15"/>
  <c r="V128" i="15"/>
  <c r="V129" i="15"/>
  <c r="V130" i="15"/>
  <c r="V131" i="15"/>
  <c r="V132" i="15"/>
  <c r="V133" i="15"/>
  <c r="V134" i="15"/>
  <c r="V135" i="15"/>
  <c r="V136" i="15"/>
  <c r="V137" i="15"/>
  <c r="V138" i="15"/>
  <c r="V139" i="15"/>
  <c r="V140" i="15"/>
  <c r="V141" i="15"/>
  <c r="V142" i="15"/>
  <c r="V143" i="15"/>
  <c r="V144" i="15"/>
  <c r="V145" i="15"/>
  <c r="V146" i="15"/>
  <c r="V147" i="15"/>
  <c r="V148" i="15"/>
  <c r="V149" i="15"/>
  <c r="V150" i="15"/>
  <c r="V151" i="15"/>
  <c r="V152" i="15"/>
  <c r="V153" i="15"/>
  <c r="V154" i="15"/>
  <c r="V155" i="15"/>
  <c r="V156" i="15"/>
  <c r="V157" i="15"/>
  <c r="V158" i="15"/>
  <c r="V159" i="15"/>
  <c r="V160" i="15"/>
  <c r="V161" i="15"/>
  <c r="V162" i="15"/>
  <c r="V163" i="15"/>
  <c r="V164" i="15"/>
  <c r="V165" i="15"/>
  <c r="V166" i="15"/>
  <c r="V167" i="15"/>
  <c r="V168" i="15"/>
  <c r="V169" i="15"/>
  <c r="V170" i="15"/>
  <c r="V171" i="15"/>
  <c r="V172" i="15"/>
  <c r="V173" i="15"/>
  <c r="V174" i="15"/>
  <c r="V175" i="15"/>
  <c r="V176" i="15"/>
  <c r="V177" i="15"/>
  <c r="V178" i="15"/>
  <c r="V179" i="15"/>
  <c r="V180" i="15"/>
  <c r="V181" i="15"/>
  <c r="V182" i="15"/>
  <c r="V183" i="15"/>
  <c r="V184" i="15"/>
  <c r="V185" i="15"/>
  <c r="V186" i="15"/>
  <c r="V187" i="15"/>
  <c r="V188" i="15"/>
  <c r="V189" i="15"/>
  <c r="V190" i="15"/>
  <c r="V191" i="15"/>
  <c r="V192" i="15"/>
  <c r="V193" i="15"/>
  <c r="V194" i="15"/>
  <c r="V195" i="15"/>
  <c r="V196" i="15"/>
  <c r="V197" i="15"/>
  <c r="V198" i="15"/>
  <c r="V199" i="15"/>
  <c r="V200" i="15"/>
  <c r="V201" i="15"/>
  <c r="V202" i="15"/>
  <c r="V203" i="15"/>
  <c r="V204" i="15"/>
  <c r="V205" i="15"/>
  <c r="V206" i="15"/>
  <c r="V207" i="15"/>
  <c r="V208" i="15"/>
  <c r="V209" i="15"/>
  <c r="V210" i="15"/>
  <c r="V211" i="15"/>
  <c r="V212" i="15"/>
  <c r="V213" i="15"/>
  <c r="V214" i="15"/>
  <c r="V215" i="15"/>
  <c r="V216" i="15"/>
  <c r="V217" i="15"/>
  <c r="V218" i="15"/>
  <c r="V219" i="15"/>
  <c r="V220" i="15"/>
  <c r="V221" i="15"/>
  <c r="V222" i="15"/>
  <c r="V223" i="15"/>
  <c r="V224" i="15"/>
  <c r="V225" i="15"/>
  <c r="V226" i="15"/>
  <c r="V227" i="15"/>
  <c r="V228" i="15"/>
  <c r="V229" i="15"/>
  <c r="V230" i="15"/>
  <c r="V231" i="15"/>
  <c r="V232" i="15"/>
  <c r="V233" i="15"/>
  <c r="V234" i="15"/>
  <c r="V235" i="15"/>
  <c r="V236" i="15"/>
  <c r="V237" i="15"/>
  <c r="V238" i="15"/>
  <c r="V239" i="15"/>
  <c r="V240" i="15"/>
  <c r="V241" i="15"/>
  <c r="V242" i="15"/>
  <c r="V243" i="15"/>
  <c r="V244" i="15"/>
  <c r="V245" i="15"/>
  <c r="V246" i="15"/>
  <c r="V247" i="15"/>
  <c r="V248" i="15"/>
  <c r="V249" i="15"/>
  <c r="V250" i="15"/>
  <c r="V251" i="15"/>
  <c r="V252" i="15"/>
  <c r="V253" i="15"/>
  <c r="V254" i="15"/>
  <c r="V255" i="15"/>
  <c r="V256" i="15"/>
  <c r="V257" i="15"/>
  <c r="V258" i="15"/>
  <c r="V259" i="15"/>
  <c r="V260" i="15"/>
  <c r="V261" i="15"/>
  <c r="V262" i="15"/>
  <c r="V263" i="15"/>
  <c r="V264" i="15"/>
  <c r="V265" i="15"/>
  <c r="V266" i="15"/>
  <c r="V267" i="15"/>
  <c r="V268" i="15"/>
  <c r="V269" i="15"/>
  <c r="V270" i="15"/>
  <c r="V271" i="15"/>
  <c r="V272" i="15"/>
  <c r="V273" i="15"/>
  <c r="V274" i="15"/>
  <c r="V275" i="15"/>
  <c r="V276" i="15"/>
  <c r="V277" i="15"/>
  <c r="V278" i="15"/>
  <c r="V279" i="15"/>
  <c r="V280" i="15"/>
  <c r="V281" i="15"/>
  <c r="V282" i="15"/>
  <c r="V283" i="15"/>
  <c r="V284" i="15"/>
  <c r="V285" i="15"/>
  <c r="V286" i="15"/>
  <c r="V287" i="15"/>
  <c r="V288" i="15"/>
  <c r="V289" i="15"/>
  <c r="V290" i="15"/>
  <c r="V291" i="15"/>
  <c r="V292" i="15"/>
  <c r="V293" i="15"/>
  <c r="V294" i="15"/>
  <c r="V295" i="15"/>
  <c r="V296" i="15"/>
  <c r="V297" i="15"/>
  <c r="V298" i="15"/>
  <c r="V299" i="15"/>
  <c r="V300" i="15"/>
  <c r="V301" i="15"/>
  <c r="V302" i="15"/>
  <c r="V303" i="15"/>
  <c r="V304" i="15"/>
  <c r="V305" i="15"/>
  <c r="V306" i="15"/>
  <c r="V307" i="15"/>
  <c r="V308" i="15"/>
  <c r="V309" i="15"/>
  <c r="V310" i="15"/>
  <c r="V311" i="15"/>
  <c r="V312" i="15"/>
  <c r="V313" i="15"/>
  <c r="V314" i="15"/>
  <c r="V315" i="15"/>
  <c r="V316" i="15"/>
  <c r="V317" i="15"/>
  <c r="V318" i="15"/>
  <c r="V319" i="15"/>
  <c r="V320" i="15"/>
  <c r="V321" i="15"/>
  <c r="V322" i="15"/>
  <c r="V323" i="15"/>
  <c r="V324" i="15"/>
  <c r="V325" i="15"/>
  <c r="V326" i="15"/>
  <c r="V327" i="15"/>
  <c r="V328" i="15"/>
  <c r="V329" i="15"/>
  <c r="V330" i="15"/>
  <c r="V331" i="15"/>
  <c r="V332" i="15"/>
  <c r="V333" i="15"/>
  <c r="V334" i="15"/>
  <c r="V335" i="15"/>
  <c r="V336" i="15"/>
  <c r="V337" i="15"/>
  <c r="V338" i="15"/>
  <c r="V339" i="15"/>
  <c r="V340" i="15"/>
  <c r="V341" i="15"/>
  <c r="V342" i="15"/>
  <c r="V343" i="15"/>
  <c r="V344" i="15"/>
  <c r="V345" i="15"/>
  <c r="V346" i="15"/>
  <c r="V347" i="15"/>
  <c r="V348" i="15"/>
  <c r="V349" i="15"/>
  <c r="V350" i="15"/>
  <c r="V351" i="15"/>
  <c r="V352" i="15"/>
  <c r="V353" i="15"/>
  <c r="V354" i="15"/>
  <c r="V355" i="15"/>
  <c r="V356" i="15"/>
  <c r="V357" i="15"/>
  <c r="V358" i="15"/>
  <c r="V359" i="15"/>
  <c r="V360" i="15"/>
  <c r="V361" i="15"/>
  <c r="V362" i="15"/>
  <c r="V363" i="15"/>
  <c r="V364" i="15"/>
  <c r="V365" i="15"/>
  <c r="V366" i="15"/>
  <c r="V367" i="15"/>
  <c r="V368" i="15"/>
  <c r="V369" i="15"/>
  <c r="V370" i="15"/>
  <c r="V371" i="15"/>
  <c r="V372" i="15"/>
  <c r="V373" i="15"/>
  <c r="V374" i="15"/>
  <c r="V375" i="15"/>
  <c r="V376" i="15"/>
  <c r="V377" i="15"/>
  <c r="V378" i="15"/>
  <c r="V379" i="15"/>
  <c r="V380" i="15"/>
  <c r="V381" i="15"/>
  <c r="V382" i="15"/>
  <c r="V383" i="15"/>
  <c r="V384" i="15"/>
  <c r="V385" i="15"/>
  <c r="V386" i="15"/>
  <c r="V387" i="15"/>
  <c r="V388" i="15"/>
  <c r="V389" i="15"/>
  <c r="V390" i="15"/>
  <c r="V391" i="15"/>
  <c r="V392" i="15"/>
  <c r="V393" i="15"/>
  <c r="V394" i="15"/>
  <c r="V395" i="15"/>
  <c r="V396" i="15"/>
  <c r="V397" i="15"/>
  <c r="V398" i="15"/>
  <c r="V399" i="15"/>
  <c r="V400" i="15"/>
  <c r="V401" i="15"/>
  <c r="V402" i="15"/>
  <c r="V403" i="15"/>
  <c r="V404" i="15"/>
  <c r="V405" i="15"/>
  <c r="V406" i="15"/>
  <c r="V407" i="15"/>
  <c r="V408" i="15"/>
  <c r="V409" i="15"/>
  <c r="V410" i="15"/>
  <c r="V411" i="15"/>
  <c r="V412" i="15"/>
  <c r="V413" i="15"/>
  <c r="V414" i="15"/>
  <c r="V415" i="15"/>
  <c r="V416" i="15"/>
  <c r="V417" i="15"/>
  <c r="V418" i="15"/>
  <c r="V419" i="15"/>
  <c r="V420" i="15"/>
  <c r="V421" i="15"/>
  <c r="V422" i="15"/>
  <c r="V423" i="15"/>
  <c r="V424" i="15"/>
  <c r="V425" i="15"/>
  <c r="V426" i="15"/>
  <c r="V427" i="15"/>
  <c r="V428" i="15"/>
  <c r="V429" i="15"/>
  <c r="V430" i="15"/>
  <c r="V431" i="15"/>
  <c r="V432" i="15"/>
  <c r="V433" i="15"/>
  <c r="V434" i="15"/>
  <c r="V435" i="15"/>
  <c r="V436" i="15"/>
  <c r="V437" i="15"/>
  <c r="V438" i="15"/>
  <c r="V439" i="15"/>
  <c r="V440" i="15"/>
  <c r="V441" i="15"/>
  <c r="V442" i="15"/>
  <c r="V443" i="15"/>
  <c r="V444" i="15"/>
  <c r="V445" i="15"/>
  <c r="V446" i="15"/>
  <c r="V447" i="15"/>
  <c r="V448" i="15"/>
  <c r="V449" i="15"/>
  <c r="V450" i="15"/>
  <c r="V451" i="15"/>
  <c r="V452" i="15"/>
  <c r="V453" i="15"/>
  <c r="V454" i="15"/>
  <c r="V455" i="15"/>
  <c r="V456" i="15"/>
  <c r="V457" i="15"/>
  <c r="V458" i="15"/>
  <c r="V459" i="15"/>
  <c r="V460" i="15"/>
  <c r="V461" i="15"/>
  <c r="V462" i="15"/>
  <c r="V463" i="15"/>
  <c r="V464" i="15"/>
  <c r="V465" i="15"/>
  <c r="V466" i="15"/>
  <c r="V467" i="15"/>
  <c r="V468" i="15"/>
  <c r="V469" i="15"/>
  <c r="V470" i="15"/>
  <c r="V471" i="15"/>
  <c r="V472" i="15"/>
  <c r="V473" i="15"/>
  <c r="V474" i="15"/>
  <c r="V475" i="15"/>
  <c r="V476" i="15"/>
  <c r="V477" i="15"/>
  <c r="V478" i="15"/>
  <c r="V479" i="15"/>
  <c r="V480" i="15"/>
  <c r="V481" i="15"/>
  <c r="V482" i="15"/>
  <c r="V483" i="15"/>
  <c r="V484" i="15"/>
  <c r="V485" i="15"/>
  <c r="V486" i="15"/>
  <c r="V487" i="15"/>
  <c r="V488" i="15"/>
  <c r="V489" i="15"/>
  <c r="V490" i="15"/>
  <c r="V491" i="15"/>
  <c r="V492" i="15"/>
  <c r="V493" i="15"/>
  <c r="V494" i="15"/>
  <c r="V495" i="15"/>
  <c r="V496" i="15"/>
  <c r="V497" i="15"/>
  <c r="V498" i="15"/>
  <c r="V499" i="15"/>
  <c r="V500" i="15"/>
  <c r="V501" i="15"/>
  <c r="V502" i="15"/>
  <c r="V503" i="15"/>
  <c r="V504" i="15"/>
  <c r="V505" i="15"/>
  <c r="V506" i="15"/>
  <c r="V507" i="15"/>
  <c r="V508" i="15"/>
  <c r="V509" i="15"/>
  <c r="V510" i="15"/>
  <c r="V511" i="15"/>
  <c r="V512" i="15"/>
  <c r="V513" i="15"/>
  <c r="V514" i="15"/>
  <c r="V515" i="15"/>
  <c r="V516" i="15"/>
  <c r="V517" i="15"/>
  <c r="V518" i="15"/>
  <c r="V519" i="15"/>
  <c r="V520" i="15"/>
  <c r="V521" i="15"/>
  <c r="V522" i="15"/>
  <c r="V523" i="15"/>
  <c r="V524" i="15"/>
  <c r="V525" i="15"/>
  <c r="V526" i="15"/>
  <c r="V527" i="15"/>
  <c r="V528" i="15"/>
  <c r="V529" i="15"/>
  <c r="V530" i="15"/>
  <c r="V531" i="15"/>
  <c r="V532" i="15"/>
  <c r="V533" i="15"/>
  <c r="V534" i="15"/>
  <c r="V535" i="15"/>
  <c r="V536" i="15"/>
  <c r="V537" i="15"/>
  <c r="V538" i="15"/>
  <c r="V539" i="15"/>
  <c r="V540" i="15"/>
  <c r="V541" i="15"/>
  <c r="V542" i="15"/>
  <c r="V543" i="15"/>
  <c r="V544" i="15"/>
  <c r="V545" i="15"/>
  <c r="V546" i="15"/>
  <c r="V547" i="15"/>
  <c r="V548" i="15"/>
  <c r="V549" i="15"/>
  <c r="V550" i="15"/>
  <c r="V551" i="15"/>
  <c r="V552" i="15"/>
  <c r="V553" i="15"/>
  <c r="V554" i="15"/>
  <c r="V555" i="15"/>
  <c r="V556" i="15"/>
  <c r="V557" i="15"/>
  <c r="V558" i="15"/>
  <c r="V559" i="15"/>
  <c r="V560" i="15"/>
  <c r="V561" i="15"/>
  <c r="V562" i="15"/>
  <c r="S3" i="15"/>
  <c r="S4" i="15"/>
  <c r="S5" i="15"/>
  <c r="S6" i="15"/>
  <c r="S7" i="15"/>
  <c r="S8" i="15"/>
  <c r="S9" i="15"/>
  <c r="S10" i="15"/>
  <c r="S11" i="15"/>
  <c r="S12" i="15"/>
  <c r="S13" i="15"/>
  <c r="S14" i="15"/>
  <c r="S2" i="15"/>
  <c r="N3" i="15"/>
  <c r="N4" i="15"/>
  <c r="N5" i="15"/>
  <c r="N6" i="15"/>
  <c r="N7" i="15"/>
  <c r="N8" i="15"/>
  <c r="N9" i="15"/>
  <c r="N10" i="15"/>
  <c r="N11" i="15"/>
  <c r="N12" i="15"/>
  <c r="N13" i="15"/>
  <c r="N14" i="15"/>
  <c r="N15" i="15"/>
  <c r="N16" i="15"/>
  <c r="N17" i="15"/>
  <c r="N18" i="15"/>
  <c r="N19" i="15"/>
  <c r="N20" i="15"/>
  <c r="N21" i="15"/>
  <c r="N22" i="15"/>
  <c r="N23" i="15"/>
  <c r="N24" i="15"/>
  <c r="N25" i="15"/>
  <c r="N26" i="15"/>
  <c r="N27" i="15"/>
  <c r="N28" i="15"/>
  <c r="N29" i="15"/>
  <c r="N30" i="15"/>
  <c r="N31" i="15"/>
  <c r="N32" i="15"/>
  <c r="N33" i="15"/>
  <c r="N34" i="15"/>
  <c r="N35" i="15"/>
  <c r="N36" i="15"/>
  <c r="N37" i="15"/>
  <c r="N38" i="15"/>
  <c r="N39" i="15"/>
  <c r="N40" i="15"/>
  <c r="N41" i="15"/>
  <c r="N42" i="15"/>
  <c r="N43" i="15"/>
  <c r="N44" i="15"/>
  <c r="N45" i="15"/>
  <c r="N46" i="15"/>
  <c r="N47" i="15"/>
  <c r="N48" i="15"/>
  <c r="N49" i="15"/>
  <c r="N50" i="15"/>
  <c r="N51" i="15"/>
  <c r="N52" i="15"/>
  <c r="N53" i="15"/>
  <c r="N54" i="15"/>
  <c r="N55" i="15"/>
  <c r="N56" i="15"/>
  <c r="N57" i="15"/>
  <c r="N58" i="15"/>
  <c r="N59" i="15"/>
  <c r="N60" i="15"/>
  <c r="N61" i="15"/>
  <c r="N62" i="15"/>
  <c r="N63" i="15"/>
  <c r="N64" i="15"/>
  <c r="N65" i="15"/>
  <c r="N66" i="15"/>
  <c r="N67" i="15"/>
  <c r="N68" i="15"/>
  <c r="N69" i="15"/>
  <c r="N70" i="15"/>
  <c r="N71" i="15"/>
  <c r="N72" i="15"/>
  <c r="N73" i="15"/>
  <c r="N74" i="15"/>
  <c r="N75" i="15"/>
  <c r="N76" i="15"/>
  <c r="N77" i="15"/>
  <c r="N78" i="15"/>
  <c r="N79" i="15"/>
  <c r="N80" i="15"/>
  <c r="N81" i="15"/>
  <c r="N82" i="15"/>
  <c r="N83" i="15"/>
  <c r="N84" i="15"/>
  <c r="N85" i="15"/>
  <c r="N86" i="15"/>
  <c r="N87" i="15"/>
  <c r="N88" i="15"/>
  <c r="N89" i="15"/>
  <c r="N90" i="15"/>
  <c r="N91" i="15"/>
  <c r="N92" i="15"/>
  <c r="N93" i="15"/>
  <c r="N94" i="15"/>
  <c r="N95" i="15"/>
  <c r="N96" i="15"/>
  <c r="N97" i="15"/>
  <c r="N98" i="15"/>
  <c r="N99" i="15"/>
  <c r="N100" i="15"/>
  <c r="N101" i="15"/>
  <c r="N102" i="15"/>
  <c r="N103" i="15"/>
  <c r="N104" i="15"/>
  <c r="N105" i="15"/>
  <c r="N106" i="15"/>
  <c r="N107" i="15"/>
  <c r="N108" i="15"/>
  <c r="N109" i="15"/>
  <c r="N110" i="15"/>
  <c r="N111" i="15"/>
  <c r="N112" i="15"/>
  <c r="N113" i="15"/>
  <c r="N114" i="15"/>
  <c r="N115" i="15"/>
  <c r="N116" i="15"/>
  <c r="N117" i="15"/>
  <c r="N118" i="15"/>
  <c r="N119" i="15"/>
  <c r="N120" i="15"/>
  <c r="N121" i="15"/>
  <c r="N122" i="15"/>
  <c r="N123" i="15"/>
  <c r="N124" i="15"/>
  <c r="N125" i="15"/>
  <c r="N126" i="15"/>
  <c r="N127" i="15"/>
  <c r="N128" i="15"/>
  <c r="N129" i="15"/>
  <c r="N130" i="15"/>
  <c r="N131" i="15"/>
  <c r="N132" i="15"/>
  <c r="N133" i="15"/>
  <c r="N134" i="15"/>
  <c r="N135" i="15"/>
  <c r="N136" i="15"/>
  <c r="N137" i="15"/>
  <c r="N138" i="15"/>
  <c r="N139" i="15"/>
  <c r="N140" i="15"/>
  <c r="N141" i="15"/>
  <c r="N142" i="15"/>
  <c r="N143" i="15"/>
  <c r="N144" i="15"/>
  <c r="N145" i="15"/>
  <c r="N146" i="15"/>
  <c r="N147" i="15"/>
  <c r="N148" i="15"/>
  <c r="N149" i="15"/>
  <c r="N150" i="15"/>
  <c r="N151" i="15"/>
  <c r="N152" i="15"/>
  <c r="N153" i="15"/>
  <c r="N154" i="15"/>
  <c r="N155" i="15"/>
  <c r="N156" i="15"/>
  <c r="N157" i="15"/>
  <c r="N158" i="15"/>
  <c r="N159" i="15"/>
  <c r="N160" i="15"/>
  <c r="N161" i="15"/>
  <c r="N162" i="15"/>
  <c r="N163" i="15"/>
  <c r="N164" i="15"/>
  <c r="N165" i="15"/>
  <c r="N166" i="15"/>
  <c r="N167" i="15"/>
  <c r="N168" i="15"/>
  <c r="N169" i="15"/>
  <c r="N170" i="15"/>
  <c r="N171" i="15"/>
  <c r="N172" i="15"/>
  <c r="N173" i="15"/>
  <c r="N174" i="15"/>
  <c r="N175" i="15"/>
  <c r="N176" i="15"/>
  <c r="N177" i="15"/>
  <c r="N178" i="15"/>
  <c r="N179" i="15"/>
  <c r="N180" i="15"/>
  <c r="N181" i="15"/>
  <c r="N182" i="15"/>
  <c r="N183" i="15"/>
  <c r="N184" i="15"/>
  <c r="N185" i="15"/>
  <c r="N186" i="15"/>
  <c r="N187" i="15"/>
  <c r="N188" i="15"/>
  <c r="N189" i="15"/>
  <c r="N190" i="15"/>
  <c r="N191" i="15"/>
  <c r="N192" i="15"/>
  <c r="N193" i="15"/>
  <c r="N194" i="15"/>
  <c r="N195" i="15"/>
  <c r="N196" i="15"/>
  <c r="N197" i="15"/>
  <c r="N198" i="15"/>
  <c r="N199" i="15"/>
  <c r="N200" i="15"/>
  <c r="N201" i="15"/>
  <c r="N202" i="15"/>
  <c r="N203" i="15"/>
  <c r="N204" i="15"/>
  <c r="N205" i="15"/>
  <c r="N206" i="15"/>
  <c r="N207" i="15"/>
  <c r="N208" i="15"/>
  <c r="N209" i="15"/>
  <c r="N210" i="15"/>
  <c r="N211" i="15"/>
  <c r="N212" i="15"/>
  <c r="N213" i="15"/>
  <c r="N214" i="15"/>
  <c r="N215" i="15"/>
  <c r="N216" i="15"/>
  <c r="N217" i="15"/>
  <c r="N218" i="15"/>
  <c r="N219" i="15"/>
  <c r="N220" i="15"/>
  <c r="N221" i="15"/>
  <c r="N222" i="15"/>
  <c r="N223" i="15"/>
  <c r="N224" i="15"/>
  <c r="N225" i="15"/>
  <c r="N226" i="15"/>
  <c r="N227" i="15"/>
  <c r="N228" i="15"/>
  <c r="N229" i="15"/>
  <c r="N230" i="15"/>
  <c r="N231" i="15"/>
  <c r="N232" i="15"/>
  <c r="N233" i="15"/>
  <c r="N234" i="15"/>
  <c r="N235" i="15"/>
  <c r="N236" i="15"/>
  <c r="N237" i="15"/>
  <c r="N238" i="15"/>
  <c r="N239" i="15"/>
  <c r="N240" i="15"/>
  <c r="N241" i="15"/>
  <c r="N242" i="15"/>
  <c r="N243" i="15"/>
  <c r="N244" i="15"/>
  <c r="N245" i="15"/>
  <c r="N246" i="15"/>
  <c r="N247" i="15"/>
  <c r="N248" i="15"/>
  <c r="N249" i="15"/>
  <c r="N250" i="15"/>
  <c r="N251" i="15"/>
  <c r="N252" i="15"/>
  <c r="N253" i="15"/>
  <c r="N254" i="15"/>
  <c r="N255" i="15"/>
  <c r="N256" i="15"/>
  <c r="N257" i="15"/>
  <c r="N258" i="15"/>
  <c r="N259" i="15"/>
  <c r="N260" i="15"/>
  <c r="N261" i="15"/>
  <c r="N262" i="15"/>
  <c r="N263" i="15"/>
  <c r="N264" i="15"/>
  <c r="N265" i="15"/>
  <c r="N266" i="15"/>
  <c r="N267" i="15"/>
  <c r="N268" i="15"/>
  <c r="N269" i="15"/>
  <c r="N270" i="15"/>
  <c r="N271" i="15"/>
  <c r="N272" i="15"/>
  <c r="N273" i="15"/>
  <c r="N274" i="15"/>
  <c r="N275" i="15"/>
  <c r="N276" i="15"/>
  <c r="N277" i="15"/>
  <c r="N278" i="15"/>
  <c r="N279" i="15"/>
  <c r="N280" i="15"/>
  <c r="N281" i="15"/>
  <c r="N282" i="15"/>
  <c r="N283" i="15"/>
  <c r="N284" i="15"/>
  <c r="N285" i="15"/>
  <c r="N286" i="15"/>
  <c r="N287" i="15"/>
  <c r="N288" i="15"/>
  <c r="N289" i="15"/>
  <c r="N290" i="15"/>
  <c r="N291" i="15"/>
  <c r="N292" i="15"/>
  <c r="N293" i="15"/>
  <c r="N294" i="15"/>
  <c r="N295" i="15"/>
  <c r="N296" i="15"/>
  <c r="N297" i="15"/>
  <c r="N298" i="15"/>
  <c r="N299" i="15"/>
  <c r="N300" i="15"/>
  <c r="N301" i="15"/>
  <c r="N302" i="15"/>
  <c r="N303" i="15"/>
  <c r="N304" i="15"/>
  <c r="N305" i="15"/>
  <c r="N306" i="15"/>
  <c r="N307" i="15"/>
  <c r="N308" i="15"/>
  <c r="N309" i="15"/>
  <c r="N310" i="15"/>
  <c r="N311" i="15"/>
  <c r="N312" i="15"/>
  <c r="N313" i="15"/>
  <c r="N314" i="15"/>
  <c r="N315" i="15"/>
  <c r="N316" i="15"/>
  <c r="N317" i="15"/>
  <c r="N318" i="15"/>
  <c r="N319" i="15"/>
  <c r="N320" i="15"/>
  <c r="N321" i="15"/>
  <c r="N322" i="15"/>
  <c r="N323" i="15"/>
  <c r="N324" i="15"/>
  <c r="N325" i="15"/>
  <c r="N326" i="15"/>
  <c r="N327" i="15"/>
  <c r="N328" i="15"/>
  <c r="N329" i="15"/>
  <c r="N330" i="15"/>
  <c r="N331" i="15"/>
  <c r="N332" i="15"/>
  <c r="N333" i="15"/>
  <c r="N334" i="15"/>
  <c r="N335" i="15"/>
  <c r="N336" i="15"/>
  <c r="N337" i="15"/>
  <c r="N338" i="15"/>
  <c r="N339" i="15"/>
  <c r="N340" i="15"/>
  <c r="N341" i="15"/>
  <c r="N342" i="15"/>
  <c r="N343" i="15"/>
  <c r="N344" i="15"/>
  <c r="N345" i="15"/>
  <c r="N346" i="15"/>
  <c r="N347" i="15"/>
  <c r="N348" i="15"/>
  <c r="N349" i="15"/>
  <c r="N350" i="15"/>
  <c r="N351" i="15"/>
  <c r="N352" i="15"/>
  <c r="N353" i="15"/>
  <c r="N354" i="15"/>
  <c r="N355" i="15"/>
  <c r="N356" i="15"/>
  <c r="N357" i="15"/>
  <c r="N358" i="15"/>
  <c r="N359" i="15"/>
  <c r="N360" i="15"/>
  <c r="N361" i="15"/>
  <c r="N362" i="15"/>
  <c r="N363" i="15"/>
  <c r="N364" i="15"/>
  <c r="N365" i="15"/>
  <c r="N366" i="15"/>
  <c r="N367" i="15"/>
  <c r="N368" i="15"/>
  <c r="N369" i="15"/>
  <c r="N370" i="15"/>
  <c r="N371" i="15"/>
  <c r="N372" i="15"/>
  <c r="N373" i="15"/>
  <c r="N374" i="15"/>
  <c r="N375" i="15"/>
  <c r="N376" i="15"/>
  <c r="N377" i="15"/>
  <c r="N378" i="15"/>
  <c r="N379" i="15"/>
  <c r="N380" i="15"/>
  <c r="N381" i="15"/>
  <c r="N382" i="15"/>
  <c r="N383" i="15"/>
  <c r="N384" i="15"/>
  <c r="N385" i="15"/>
  <c r="N386" i="15"/>
  <c r="N387" i="15"/>
  <c r="N388" i="15"/>
  <c r="N389" i="15"/>
  <c r="N390" i="15"/>
  <c r="N391" i="15"/>
  <c r="N392" i="15"/>
  <c r="N393" i="15"/>
  <c r="N394" i="15"/>
  <c r="N395" i="15"/>
  <c r="N396" i="15"/>
  <c r="N397" i="15"/>
  <c r="N398" i="15"/>
  <c r="N399" i="15"/>
  <c r="N400" i="15"/>
  <c r="N401" i="15"/>
  <c r="N402" i="15"/>
  <c r="N403" i="15"/>
  <c r="N404" i="15"/>
  <c r="N405" i="15"/>
  <c r="N406" i="15"/>
  <c r="N407" i="15"/>
  <c r="N408" i="15"/>
  <c r="N409" i="15"/>
  <c r="N410" i="15"/>
  <c r="N411" i="15"/>
  <c r="N412" i="15"/>
  <c r="N413" i="15"/>
  <c r="N414" i="15"/>
  <c r="N415" i="15"/>
  <c r="N416" i="15"/>
  <c r="N417" i="15"/>
  <c r="N418" i="15"/>
  <c r="N419" i="15"/>
  <c r="N420" i="15"/>
  <c r="N421" i="15"/>
  <c r="N422" i="15"/>
  <c r="N423" i="15"/>
  <c r="N424" i="15"/>
  <c r="N425" i="15"/>
  <c r="N426" i="15"/>
  <c r="N427" i="15"/>
  <c r="N428" i="15"/>
  <c r="N429" i="15"/>
  <c r="N430" i="15"/>
  <c r="N431" i="15"/>
  <c r="N432" i="15"/>
  <c r="N433" i="15"/>
  <c r="N434" i="15"/>
  <c r="N435" i="15"/>
  <c r="N436" i="15"/>
  <c r="N437" i="15"/>
  <c r="N438" i="15"/>
  <c r="N439" i="15"/>
  <c r="N440" i="15"/>
  <c r="N441" i="15"/>
  <c r="N442" i="15"/>
  <c r="N443" i="15"/>
  <c r="N444" i="15"/>
  <c r="N445" i="15"/>
  <c r="N446" i="15"/>
  <c r="N447" i="15"/>
  <c r="N448" i="15"/>
  <c r="N449" i="15"/>
  <c r="N450" i="15"/>
  <c r="N451" i="15"/>
  <c r="N452" i="15"/>
  <c r="N453" i="15"/>
  <c r="N454" i="15"/>
  <c r="N455" i="15"/>
  <c r="N456" i="15"/>
  <c r="N457" i="15"/>
  <c r="N458" i="15"/>
  <c r="N459" i="15"/>
  <c r="N460" i="15"/>
  <c r="N461" i="15"/>
  <c r="N462" i="15"/>
  <c r="N463" i="15"/>
  <c r="N464" i="15"/>
  <c r="N465" i="15"/>
  <c r="N466" i="15"/>
  <c r="N467" i="15"/>
  <c r="N468" i="15"/>
  <c r="N469" i="15"/>
  <c r="N470" i="15"/>
  <c r="N471" i="15"/>
  <c r="N472" i="15"/>
  <c r="N473" i="15"/>
  <c r="N474" i="15"/>
  <c r="N475" i="15"/>
  <c r="N476" i="15"/>
  <c r="N477" i="15"/>
  <c r="N478" i="15"/>
  <c r="N479" i="15"/>
  <c r="N480" i="15"/>
  <c r="N481" i="15"/>
  <c r="N482" i="15"/>
  <c r="N483" i="15"/>
  <c r="N484" i="15"/>
  <c r="N485" i="15"/>
  <c r="N486" i="15"/>
  <c r="N487" i="15"/>
  <c r="N488" i="15"/>
  <c r="N489" i="15"/>
  <c r="N490" i="15"/>
  <c r="N491" i="15"/>
  <c r="N492" i="15"/>
  <c r="N493" i="15"/>
  <c r="N494" i="15"/>
  <c r="N495" i="15"/>
  <c r="N496" i="15"/>
  <c r="N497" i="15"/>
  <c r="N498" i="15"/>
  <c r="N499" i="15"/>
  <c r="N500" i="15"/>
  <c r="N501" i="15"/>
  <c r="N502" i="15"/>
  <c r="N503" i="15"/>
  <c r="N504" i="15"/>
  <c r="N505" i="15"/>
  <c r="N506" i="15"/>
  <c r="N507" i="15"/>
  <c r="N508" i="15"/>
  <c r="N509" i="15"/>
  <c r="N510" i="15"/>
  <c r="N511" i="15"/>
  <c r="N512" i="15"/>
  <c r="N513" i="15"/>
  <c r="N514" i="15"/>
  <c r="N515" i="15"/>
  <c r="N516" i="15"/>
  <c r="N517" i="15"/>
  <c r="N518" i="15"/>
  <c r="N519" i="15"/>
  <c r="N520" i="15"/>
  <c r="N521" i="15"/>
  <c r="N522" i="15"/>
  <c r="N523" i="15"/>
  <c r="N524" i="15"/>
  <c r="N525" i="15"/>
  <c r="N526" i="15"/>
  <c r="N527" i="15"/>
  <c r="N528" i="15"/>
  <c r="N529" i="15"/>
  <c r="N530" i="15"/>
  <c r="N531" i="15"/>
  <c r="N532" i="15"/>
  <c r="N533" i="15"/>
  <c r="N534" i="15"/>
  <c r="N535" i="15"/>
  <c r="N536" i="15"/>
  <c r="N537" i="15"/>
  <c r="N538" i="15"/>
  <c r="N539" i="15"/>
  <c r="N540" i="15"/>
  <c r="N541" i="15"/>
  <c r="N542" i="15"/>
  <c r="N543" i="15"/>
  <c r="N544" i="15"/>
  <c r="N545" i="15"/>
  <c r="N546" i="15"/>
  <c r="N547" i="15"/>
  <c r="N548" i="15"/>
  <c r="N549" i="15"/>
  <c r="N550" i="15"/>
  <c r="N551" i="15"/>
  <c r="N552" i="15"/>
  <c r="N553" i="15"/>
  <c r="N554" i="15"/>
  <c r="N555" i="15"/>
  <c r="N556" i="15"/>
  <c r="N557" i="15"/>
  <c r="N558" i="15"/>
  <c r="N559" i="15"/>
  <c r="N560" i="15"/>
  <c r="N561" i="15"/>
  <c r="N562" i="15"/>
  <c r="N2" i="15"/>
</calcChain>
</file>

<file path=xl/sharedStrings.xml><?xml version="1.0" encoding="utf-8"?>
<sst xmlns="http://schemas.openxmlformats.org/spreadsheetml/2006/main" count="736" uniqueCount="710">
  <si>
    <t>Kind of changes</t>
  </si>
  <si>
    <t>0200 Ansættelsesvilkår</t>
  </si>
  <si>
    <t>0400 Jobstatus</t>
  </si>
  <si>
    <t>0800 Aflønningsform</t>
  </si>
  <si>
    <t>New hire</t>
  </si>
  <si>
    <t>1 Funktionærer</t>
  </si>
  <si>
    <t>1 Elever og lærlinge</t>
  </si>
  <si>
    <t>1 Timeløn</t>
  </si>
  <si>
    <t>Yes</t>
  </si>
  <si>
    <t>Changes</t>
  </si>
  <si>
    <t>2 Arbejdere, funktionærlignende</t>
  </si>
  <si>
    <t>3 Ledere og mellemledere</t>
  </si>
  <si>
    <t>2 Timeløn, præstationsbaseret</t>
  </si>
  <si>
    <t>No</t>
  </si>
  <si>
    <t>Termination</t>
  </si>
  <si>
    <t>3 Arbejdere, i øvrigt</t>
  </si>
  <si>
    <t>5 Medarbejdere med særligt ansvar</t>
  </si>
  <si>
    <t>3 Fastløn med overtidsbetaling</t>
  </si>
  <si>
    <t>9 Øvrige medarbejdere</t>
  </si>
  <si>
    <t>4 Fastløn uden overtidsbetaling</t>
  </si>
  <si>
    <t>5 Fastløn med provision</t>
  </si>
  <si>
    <t>Other Information:</t>
  </si>
  <si>
    <t>Vælg om teksten skal være
dansk eller engelsk</t>
  </si>
  <si>
    <t>Type af ændring:</t>
  </si>
  <si>
    <t>Navn</t>
  </si>
  <si>
    <t>Firma</t>
  </si>
  <si>
    <t>Hoved-/bikort (vælg)</t>
  </si>
  <si>
    <t>Bank reg.nr.</t>
  </si>
  <si>
    <t>Fri bil: beskatningsværdi</t>
  </si>
  <si>
    <t>Fri bil: 1.indregistreringsdato</t>
  </si>
  <si>
    <t>Information til "Danmarks Statistik":</t>
  </si>
  <si>
    <t>Pensionsinformation - Firmabetalt pension:</t>
  </si>
  <si>
    <t>Firmabidrag (%)</t>
  </si>
  <si>
    <t>Medarbejderbidrag (%/dkk)</t>
  </si>
  <si>
    <t>Medarbejderbidrag (%)</t>
  </si>
  <si>
    <t>Pensionsinformation - Privat pension</t>
  </si>
  <si>
    <t>(4 cifre)</t>
  </si>
  <si>
    <t>(10 cifre)</t>
  </si>
  <si>
    <t>Bank kontonr.</t>
  </si>
  <si>
    <t>Når du har klikket på Dansk eller Engelsk
indtastes firmanavn på New employee
og filen gemmes på K</t>
  </si>
  <si>
    <t>Ekstra trækpct. (%)</t>
  </si>
  <si>
    <t>Version 1.0</t>
  </si>
  <si>
    <t>Gyldig fra fra (dato)</t>
  </si>
  <si>
    <t>Type af ændring</t>
  </si>
  <si>
    <t>Ny medarbejder</t>
  </si>
  <si>
    <t>Ændring af eksisterende medarbejder</t>
  </si>
  <si>
    <t>Fratrædelse af medarbejder</t>
  </si>
  <si>
    <t>0200 Terms of employment</t>
  </si>
  <si>
    <t>1 Functionary</t>
  </si>
  <si>
    <t>2 Workers with functionary status</t>
  </si>
  <si>
    <t>3 Workers others</t>
  </si>
  <si>
    <t>1 Trainees</t>
  </si>
  <si>
    <t>3 Managers and middle managers</t>
  </si>
  <si>
    <t>5 Employees with special responsibilities</t>
  </si>
  <si>
    <t>9 Other employees</t>
  </si>
  <si>
    <t>1 Hourly paid</t>
  </si>
  <si>
    <t>2 Hourly paid, based on performance</t>
  </si>
  <si>
    <t>3 Monthly salary with overtime pay</t>
  </si>
  <si>
    <t>4 Monthly salary without overtime pay</t>
  </si>
  <si>
    <t>5 Monthly salary with provision</t>
  </si>
  <si>
    <t>Funktion</t>
  </si>
  <si>
    <t>Disco tekst</t>
  </si>
  <si>
    <t>Militært arbejde på officersniveau (011000)</t>
  </si>
  <si>
    <t>Militært arbejde på befalingsmandsniveau (underofficersarbejde) 021000</t>
  </si>
  <si>
    <t>Militært arbejde, øvrige rangordener (031000)</t>
  </si>
  <si>
    <t>Øverste ledelse i lovgivende myndigheder</t>
  </si>
  <si>
    <t>Øverste ledelse i offentlige virksomheder</t>
  </si>
  <si>
    <t>Øverste ledelse i interesseorganisationer</t>
  </si>
  <si>
    <t>Øverste administrerende virksomhedsledelse</t>
  </si>
  <si>
    <t>Virksomhedsledelse af tværgående funktioner</t>
  </si>
  <si>
    <t>Ledelse inden for økonomifunktioner</t>
  </si>
  <si>
    <t>Ledelse inden for HR-funktioner</t>
  </si>
  <si>
    <t>Ledelse inden virksomhedsstrategi/policy området</t>
  </si>
  <si>
    <t>Administrativ ledelse i den offentlige sektor</t>
  </si>
  <si>
    <t>Ledelse af rengøringsfunktioner o.l.</t>
  </si>
  <si>
    <t>Ledelse af logistikfunktioner</t>
  </si>
  <si>
    <t>Anden ledelse inden for forretningsservice og administrative funktioner i øvrigt</t>
  </si>
  <si>
    <t>Ledelse af salg og marketing</t>
  </si>
  <si>
    <t>Ledelse af reklame og PR</t>
  </si>
  <si>
    <t>Ledelse af kommerciel forskning og udvikling</t>
  </si>
  <si>
    <t>Ledelse af produktion i landbrug og skovbrug</t>
  </si>
  <si>
    <t>Ledelse af produktion inden for akvakultur og fiskeri</t>
  </si>
  <si>
    <t>Ledelse af hovedaktiviteten inden for fremstillingsvirksomhed (undtagen landbrug, skovbrug og fiskeri)</t>
  </si>
  <si>
    <t>Ledelse af hovedaktiviteten inden for råstofudvinding</t>
  </si>
  <si>
    <t>Ledelse af hovedaktiviteten inden for bygge- og anlægsvirksomhed</t>
  </si>
  <si>
    <t>Ledelse af hovedaktiviteten inden for forsyning, distribution o.l.</t>
  </si>
  <si>
    <t>Ledelse af hovedaktiviteten inden for informations- og kommunikationsteknologi (Business to Business)</t>
  </si>
  <si>
    <t>Ledelse af intern IT</t>
  </si>
  <si>
    <t>Ledelse af hovedaktiviteten inden for pædagogisk arbejde med og omsorg for børn</t>
  </si>
  <si>
    <t>Ledelse af hovedaktiviteten inden for sundhedsområdet</t>
  </si>
  <si>
    <t>Ledelse af hovedaktiviteten inden for ældreplejen</t>
  </si>
  <si>
    <t>Ledelse af hovedaktiviteten inden for det sociale område</t>
  </si>
  <si>
    <t>Ledelse af hovedaktiviteten inden for undervisningsområdet</t>
  </si>
  <si>
    <t>Ledelse af hovedaktiviteten inden for finans- og forsikringsområdet</t>
  </si>
  <si>
    <t>Ledelse af hovedaktiviteten inden for politi og retsvæsen</t>
  </si>
  <si>
    <t>Anden ledelse af hovedaktiviteten inden for servicefag i øvrigt</t>
  </si>
  <si>
    <t>Ledelse af hovedaktiviteten af hoteller</t>
  </si>
  <si>
    <t>Ledelse af hovedaktiviteten inden for restauration</t>
  </si>
  <si>
    <t>Ledelse af hovedaktiviteten inden for detailhandel</t>
  </si>
  <si>
    <t>Ledelse af hovedaktiviteten inden for engroshandel</t>
  </si>
  <si>
    <t>Ledelse af hovedaktiviteten inden for sport, forlystelse og kultur</t>
  </si>
  <si>
    <t>Ledelse af hovedaktiviteten inden for andre serviceområder</t>
  </si>
  <si>
    <t>Arbejde inden for fysik og astronomi</t>
  </si>
  <si>
    <t>Arbejde inden for meteorologi</t>
  </si>
  <si>
    <t>Arbejde inden for kemi</t>
  </si>
  <si>
    <t>Arbejde inden for geologi og geofysik</t>
  </si>
  <si>
    <t>Arbejde med matematiske, aktuariske og statistiske metoder og teorier</t>
  </si>
  <si>
    <t>Arbejde inden for biokemi</t>
  </si>
  <si>
    <t>Arbejde inden for biologi, botanik, zoologi og beslægtede områder</t>
  </si>
  <si>
    <t>Rådgivning inden for landbrug, skovbrug og fiskeri</t>
  </si>
  <si>
    <t>Arbejde inden for miljøbeskyttelse</t>
  </si>
  <si>
    <t>Ingeniørarbejde i industri og produktion</t>
  </si>
  <si>
    <t>Ingeniørarbejde vedrørende bygninger og anlæg</t>
  </si>
  <si>
    <t>Ingeniørarbejde inden for miljø</t>
  </si>
  <si>
    <t>Ingeniørarbejde inden for mekaniske systemer</t>
  </si>
  <si>
    <t>Ingeniørarbejde inden for kemi</t>
  </si>
  <si>
    <t>Ingeniørarbejde inden for minedrift, metallurgi og beslægtede områder</t>
  </si>
  <si>
    <t>Andet ingeniørarbejde (undtagen elektroteknologi)</t>
  </si>
  <si>
    <t>Ingeniørarbejde inden for elektricitet</t>
  </si>
  <si>
    <t>Ingeniørarbejde inden for elektronik</t>
  </si>
  <si>
    <t>Ingeniørarbejde inden for telekommunikation</t>
  </si>
  <si>
    <t>Arbejde med bygningsarkitektur</t>
  </si>
  <si>
    <t>Arbejde med landskabsarkitektur</t>
  </si>
  <si>
    <t>Arbejde med produkt- og tøjdesign</t>
  </si>
  <si>
    <t>Arbejde med by- og trafikplanlægning</t>
  </si>
  <si>
    <t>Arbejde med kartografi og landinspektørarbejde</t>
  </si>
  <si>
    <t>Arbejde med grafisk og multimediedesign</t>
  </si>
  <si>
    <t>Almindeligt lægearbejde</t>
  </si>
  <si>
    <t>Speciallægearbejde</t>
  </si>
  <si>
    <t>Sygeplejerskearbejde, basisfunktioner</t>
  </si>
  <si>
    <t>Sygeplejerskearbejde, specialfunktioner</t>
  </si>
  <si>
    <t>Sundhedsplejerskearbejde</t>
  </si>
  <si>
    <t>Jordemoderarbejde</t>
  </si>
  <si>
    <t>Arbejde inden for naturmedicin og alternativ behandling</t>
  </si>
  <si>
    <t>Paramedicinsk arbejde</t>
  </si>
  <si>
    <t>Dyrlægearbejde</t>
  </si>
  <si>
    <t>Tandlægearbejde</t>
  </si>
  <si>
    <t>Farmaceutarbejde</t>
  </si>
  <si>
    <t>Arbejde inden for arbejdsmiljø og hygiejne</t>
  </si>
  <si>
    <t>Fysioterapeutarbejde</t>
  </si>
  <si>
    <t>Afspændingspædagogarbejde</t>
  </si>
  <si>
    <t>Kost- og ernæringsarbejde, basisfunktioner</t>
  </si>
  <si>
    <t>Kost- og ernæringsarbejde, specialfunktioner</t>
  </si>
  <si>
    <t>Arbejde inden for audiologi</t>
  </si>
  <si>
    <t>Arbejde inden for logopædi</t>
  </si>
  <si>
    <t>Optiker/optometristarbejde</t>
  </si>
  <si>
    <t>Ergoterapeutarbejde</t>
  </si>
  <si>
    <t>Fodterapeutarbejde</t>
  </si>
  <si>
    <t>Kiropraktikerarbejde</t>
  </si>
  <si>
    <t>Sundhedsarbejde ikke klassificeret andetsteds</t>
  </si>
  <si>
    <t>Undervisning og forskning ved lange videregående uddannelser</t>
  </si>
  <si>
    <t>Undervisning og forskning ved mellemlange videregående uddannelser</t>
  </si>
  <si>
    <t>Undervisning og forskning ved korte videregående uddannelser</t>
  </si>
  <si>
    <t>Undervisning ved erhvervsuddannelser for unge</t>
  </si>
  <si>
    <t>Undervisning ved arbejdsmarkedsuddannelser</t>
  </si>
  <si>
    <t>Undervisning ved voksenerhvervsuddannelser</t>
  </si>
  <si>
    <t>Undervisning på gymnasialt niveau</t>
  </si>
  <si>
    <t>Undervisning ved øvrige almene uddannelser efter grundskoleniveau</t>
  </si>
  <si>
    <t>Undervisning på grundskoleniveau, unge og voksne</t>
  </si>
  <si>
    <t>Undervisning på grundskoleniveau, (børn, 1.-10. klasse)</t>
  </si>
  <si>
    <t>Undervisning på grundskoleniveau, børnehaveklasseniveau</t>
  </si>
  <si>
    <t>Undervisning før grundskoleniveau</t>
  </si>
  <si>
    <t>Pædagogisk arbejde med unge og voksne</t>
  </si>
  <si>
    <t>Pædagogisk arbejde, fritidsklubber/legepladser</t>
  </si>
  <si>
    <t>Pædagogisk arbejde i skolefritidsordninger/fritidshjem og på skoler</t>
  </si>
  <si>
    <t>Pædagogisk arbejde, førskolebørn</t>
  </si>
  <si>
    <t>Andet pædagogisk arbejde</t>
  </si>
  <si>
    <t>Forskning, udvikling og rådgivning inden for undervisningsmetoder</t>
  </si>
  <si>
    <t>Specialundervisning, unge og voksne</t>
  </si>
  <si>
    <t>Specialundervisning på grundskoleniveau (1.-10. klasse)</t>
  </si>
  <si>
    <t>Specialundervisning på børnehaveklasseniveau</t>
  </si>
  <si>
    <t>Anden sprogundervisning</t>
  </si>
  <si>
    <t>Anden musik- og sangundervisning</t>
  </si>
  <si>
    <t>Anden undervisning inden for kreative fag</t>
  </si>
  <si>
    <t>Anden undervisning inden for informationsteknologi</t>
  </si>
  <si>
    <t>Specialpædagogisk arbejde, ældre og handicappede</t>
  </si>
  <si>
    <t>Specialpædagogisk arbejde, aktivering mv.</t>
  </si>
  <si>
    <t>Specialpædagogisk arbejde, rådgivning af voksne</t>
  </si>
  <si>
    <t>Specialpædagogisk arbejde, kontakt med- og ledsagning af voksne</t>
  </si>
  <si>
    <t>Specialpædagogisk arbejde, børn og unge</t>
  </si>
  <si>
    <t>Specialpædagogisk arbejde, førskolebørn</t>
  </si>
  <si>
    <t>Andet specialpædagogisk arbejde</t>
  </si>
  <si>
    <t>Undervisningsarbejde ikke klassificeret andetsteds (ekskl. medhjælp)</t>
  </si>
  <si>
    <t>Pædagogisk arbejde ikke klassificeret andetsteds (ekskl. medhjælp)</t>
  </si>
  <si>
    <t>Revisions- og regnskabscontrollerarbejde</t>
  </si>
  <si>
    <t>Rådgivning af storkunder og private banking kunder inden for finans og forsikring</t>
  </si>
  <si>
    <t>Generel rådgivning af erhvervskunder inden for finans og forsikring</t>
  </si>
  <si>
    <t>Generel rådgivning af privatkunder inden for finans og forsikring</t>
  </si>
  <si>
    <t>Rådgivning inden for specialområde som investering, valuta og formue</t>
  </si>
  <si>
    <t>Analytikerarbejde inden for finans og forsikring</t>
  </si>
  <si>
    <t>Arbejde med udvikling og vedligeholdelse af bank- og forsikringsprodukter</t>
  </si>
  <si>
    <t>Analytikerarbejde inden for ledelse og virksomhedsorganisation</t>
  </si>
  <si>
    <t>Arbejde med virksomhedsstrategi/policy</t>
  </si>
  <si>
    <t>Arbejde med analyse og rådgivning inden for HR</t>
  </si>
  <si>
    <t>Arbejde med personaleudvikling og -oplæring</t>
  </si>
  <si>
    <t>Arbejde inden for reklame og marketing</t>
  </si>
  <si>
    <t>Arbejde inden for PR</t>
  </si>
  <si>
    <t>Arbejde inden for teknisk salg (undtagen informations- og kommunikationsteknologi)</t>
  </si>
  <si>
    <t>Arbejde inden for medicinsk salg</t>
  </si>
  <si>
    <t>Arbejde inden for salg af informations- og kommunikationsteknologi</t>
  </si>
  <si>
    <t>Arbejde med overordnet IT-arkitektur</t>
  </si>
  <si>
    <t>Design af IT-systemer og analyse af forretningsprocesser</t>
  </si>
  <si>
    <t>IT-projektstyring</t>
  </si>
  <si>
    <t>Rådgivning og programmering inden for softwareudvikling</t>
  </si>
  <si>
    <t>Web- og multimedieudvikling</t>
  </si>
  <si>
    <t>Vedligeholdelse og dokumentation af software</t>
  </si>
  <si>
    <t>Andet arbejde med software, herunder test og kvalitetssikring</t>
  </si>
  <si>
    <t>Design og administration af databaser</t>
  </si>
  <si>
    <t>Systemadministration</t>
  </si>
  <si>
    <t>Arbejde med computernetværk</t>
  </si>
  <si>
    <t>Andet arbejde med databaser og netværk</t>
  </si>
  <si>
    <t>Advokatarbejde</t>
  </si>
  <si>
    <t>Advokatfuldmægtigarbejde</t>
  </si>
  <si>
    <t>Dommerarbejde</t>
  </si>
  <si>
    <t>Andet juridisk arbejde</t>
  </si>
  <si>
    <t>Arkivar- og museumsinspektørarbejde</t>
  </si>
  <si>
    <t>Bibliotekararbejde og andet informationsarbejde</t>
  </si>
  <si>
    <t>Arbejde inden for samfundsøkonomi</t>
  </si>
  <si>
    <t>Arbejde inden for sociologi, antropologi og beslægtede områder</t>
  </si>
  <si>
    <t>Arbejde inden for filosofi, historie og statskundskab</t>
  </si>
  <si>
    <t>Arbejde inden for psykologi</t>
  </si>
  <si>
    <t>Socialrådgivningsarbejde</t>
  </si>
  <si>
    <t>Arbejde inden for religion</t>
  </si>
  <si>
    <t>Forfatterarbejde</t>
  </si>
  <si>
    <t>Journalistisk arbejde</t>
  </si>
  <si>
    <t>Translatørarbejde</t>
  </si>
  <si>
    <t>Tolkearbejde</t>
  </si>
  <si>
    <t>Andet sprogvidenskabeligt arbejde</t>
  </si>
  <si>
    <t>Kunstnerisk arbejde inden for visuelle kunstarter</t>
  </si>
  <si>
    <t>Kunstnerisk arbejde inden for musik og sang</t>
  </si>
  <si>
    <t>Kunstnerisk arbejde inden for dans og koreografi</t>
  </si>
  <si>
    <t>Arbejde med instruktion og produktion af film, teater og beslægtede funktioner</t>
  </si>
  <si>
    <t>Skuespilarbejde</t>
  </si>
  <si>
    <t>Speakerarbejde på radio, TV og andre medier</t>
  </si>
  <si>
    <t>Andet arbejde med kunst og kreative fag</t>
  </si>
  <si>
    <t>Laborantarbejde</t>
  </si>
  <si>
    <t>Assistentarbejde i laboratorier</t>
  </si>
  <si>
    <t>Laboratorieteknikerarbejde</t>
  </si>
  <si>
    <t>Teknikerarbejde inden for geologi, meteorologi og astronomi</t>
  </si>
  <si>
    <t>Teknikerarbejde inden for byggeri- og anlæg</t>
  </si>
  <si>
    <t>Teknikerarbejde inden for det elektriske område</t>
  </si>
  <si>
    <t>Teknikerarbejde inden for det elektronisk område</t>
  </si>
  <si>
    <t>Teknikerarbejde inden for VVS</t>
  </si>
  <si>
    <t>Teknikerarbejde inden for andre mekaniske områder</t>
  </si>
  <si>
    <t>Teknikerarbejde inden for det kemiske område</t>
  </si>
  <si>
    <t>Teknikerarbejde inden for minedrift og metallurgi</t>
  </si>
  <si>
    <t>Teknisk tegnearbejde</t>
  </si>
  <si>
    <t>Andet teknikerarbejde inden for fysisk videnskab og ingeniørvirksomhed</t>
  </si>
  <si>
    <t>Teknisk kontrolarbejde på kraftværker</t>
  </si>
  <si>
    <t>Teknisk kontrolarbejde på forbrændings- og vandrensningsanlæg</t>
  </si>
  <si>
    <t>Teknisk kontrolarbejde på kemiske behandlingsanlæg</t>
  </si>
  <si>
    <t>Teknisk kontrolarbejde på olie- og naturgasraffinaderier</t>
  </si>
  <si>
    <t>Teknisk kontrolarbejde ved metalproduktion</t>
  </si>
  <si>
    <t>Andet teknisk kontrolarbejde inden for processtyring</t>
  </si>
  <si>
    <t>Teknikerarbejde inden for biovidenskab (undtagen medicinsk område)</t>
  </si>
  <si>
    <t>Landbrugsteknikerarbejde</t>
  </si>
  <si>
    <t>Skovbrugsteknikerarbejde</t>
  </si>
  <si>
    <t>Teknikerarbejde inden for skibsfart</t>
  </si>
  <si>
    <t>Skibsførerarbejde</t>
  </si>
  <si>
    <t>Flypilotarbejde</t>
  </si>
  <si>
    <t>Flyvelederarbejde</t>
  </si>
  <si>
    <t>Planlægning og afvikling af flytrafik i øvrigt</t>
  </si>
  <si>
    <t>Teknikerarbejde inden for luftfartssikkerhed</t>
  </si>
  <si>
    <t>Teknikerarbejde inden for brug af medicinsk røntgen- og behandlingsudstyr</t>
  </si>
  <si>
    <t>Bioanalytikerarbejde, basisfunktioner</t>
  </si>
  <si>
    <t>Bioanalytikerarbejde, specialfunktioner</t>
  </si>
  <si>
    <t>Laborantarbejde på sygehuslaboratorier</t>
  </si>
  <si>
    <t>Andet teknikerarbejde i medicinske og patologiske laboratorier</t>
  </si>
  <si>
    <t>Farmakonomarbejde</t>
  </si>
  <si>
    <t>Andet arbejde inden for farmaci</t>
  </si>
  <si>
    <t>Teknikerarbejde inden for fremstilling af proteser</t>
  </si>
  <si>
    <t>Assisterende arbejde inden for sygepleje</t>
  </si>
  <si>
    <t>Assisterende arbejde inden for fødselshjælp</t>
  </si>
  <si>
    <t>Assisterende arbejde inden for naturmedicin og alternativ behandling</t>
  </si>
  <si>
    <t>Assisterende veterinærarbejde og veterinærteknisk arbejde</t>
  </si>
  <si>
    <t>Tandklinikassistentarbejde</t>
  </si>
  <si>
    <t>Tandplejerarbejde</t>
  </si>
  <si>
    <t>Teknikerarbejde inden for medicinsk registrering og sundhedsinformation</t>
  </si>
  <si>
    <t>Assisterende sundhedsarbejde ved lokale/akutte behandlingscentre</t>
  </si>
  <si>
    <t>Teknikerarbejde inden for fremstilling af synshjælpemidler</t>
  </si>
  <si>
    <t>Assisterende arbejde inden for fysioterapi</t>
  </si>
  <si>
    <t>Assisterende arbejde inden for sundhedsområdet</t>
  </si>
  <si>
    <t>Kontrolarbejde vedr. arbejdsmiljø</t>
  </si>
  <si>
    <t>Kontrolarbejde vedr. sikkerhed</t>
  </si>
  <si>
    <t>Assistentarbejde og rådgivning vedr. hygiejne og miljøteknisk arbejde</t>
  </si>
  <si>
    <t>Redningsarbejde (Ambulancebehandler)</t>
  </si>
  <si>
    <t>Tekniker- og assistentarbejde inden for sundhedsområdet ikke klassificeret andetsteds</t>
  </si>
  <si>
    <t>Handel med værdipapirer og valuta</t>
  </si>
  <si>
    <t>Afvikling af handel med værdipapirer og valuta (back office)</t>
  </si>
  <si>
    <t>Arbejde med kreditbevilling og ¿analyse</t>
  </si>
  <si>
    <t>Arbejde med erhverskunder ¿ standardprodukter</t>
  </si>
  <si>
    <t>Arbejde med privatkunder ¿ standardprodukter</t>
  </si>
  <si>
    <t>Arbejde med både erhvervs- og privatkunder ¿ standardprodukter</t>
  </si>
  <si>
    <t>Regnskabsarbejde</t>
  </si>
  <si>
    <t>Arbejde med statistik og matematik</t>
  </si>
  <si>
    <t>Vurderings- og takseringsarbejde</t>
  </si>
  <si>
    <t>Forsikringssalgsarbejde med egen kundeportefølje</t>
  </si>
  <si>
    <t>Forsikringssalgsarbejde uden egen kundeportefølje</t>
  </si>
  <si>
    <t>Forsikringsteknisk vurdering</t>
  </si>
  <si>
    <t>Salgsarbejde (agenter)</t>
  </si>
  <si>
    <t>Indkøbsarbejde (agenter)</t>
  </si>
  <si>
    <t>Erhvervsmæglerarbejde</t>
  </si>
  <si>
    <t>Speditørarbejde vedr. land- og lufttransport</t>
  </si>
  <si>
    <t>Speditørarbejde vedr. skibsfart</t>
  </si>
  <si>
    <t>Speditørarbejde i øvrigt</t>
  </si>
  <si>
    <t>Konference- og eventplanlægning</t>
  </si>
  <si>
    <t>Jobformidling</t>
  </si>
  <si>
    <t>Ejendomsmæglerarbejde</t>
  </si>
  <si>
    <t>Ejendomshandlerarbejde</t>
  </si>
  <si>
    <t>Ejendomsadministratorarbejde</t>
  </si>
  <si>
    <t>Andet arbejde inden for forretningsservice</t>
  </si>
  <si>
    <t>Advokatsekretærarbejde</t>
  </si>
  <si>
    <t>Chef- og direktionssekretærarbejde</t>
  </si>
  <si>
    <t>Oversættelse af korrespondance</t>
  </si>
  <si>
    <t>Lægesekretærarbejde</t>
  </si>
  <si>
    <t>Told- og grænsebetjentarbejde</t>
  </si>
  <si>
    <t>Administration af skatte- og afgiftslovgivning</t>
  </si>
  <si>
    <t>Formidling af offentlige ydelser</t>
  </si>
  <si>
    <t>Udstedelse af pas, kørekort o.l.</t>
  </si>
  <si>
    <t>Politimæssigt undersøgelsesarbejde</t>
  </si>
  <si>
    <t>Andet arbejde med forvaltning og udøvelse af lovgivning</t>
  </si>
  <si>
    <t>Juridisk arbejde på mellemniveau</t>
  </si>
  <si>
    <t>Social rådgivningsarbejde på mellemniveau</t>
  </si>
  <si>
    <t>Arbejde med tilknytning til religion på mellemniveau</t>
  </si>
  <si>
    <t>Sportsudøvere</t>
  </si>
  <si>
    <t>Træner-, instruktør- og dommerarbejde inden for sport</t>
  </si>
  <si>
    <t>Instruktørarbejde inden for fitness og beslægtede områder</t>
  </si>
  <si>
    <t>Fotografarbejde</t>
  </si>
  <si>
    <t>Indretningsarkitekt- og dekoratørarbejde</t>
  </si>
  <si>
    <t>Galleri-, museums- og biblioteksteknikerarbejde</t>
  </si>
  <si>
    <t>Køkkenchefarbejde</t>
  </si>
  <si>
    <t>Andet arbejde inden for kunstneriske, kulturelle og kulinariske områder</t>
  </si>
  <si>
    <t>Driftsteknikerarbejde inden for informations- og kommunikationsteknologi</t>
  </si>
  <si>
    <t>Brugersupportarbejde inden for informations- og kommunikationsteknologi</t>
  </si>
  <si>
    <t>Netværks- og systemteknikerarbejde inden for informations- og kommunikationsteknologi</t>
  </si>
  <si>
    <t>Internetteknikerarbejde</t>
  </si>
  <si>
    <t>Teknikerarbejde inden for audiovisuelle medier</t>
  </si>
  <si>
    <t>Teknikerarbejde inden for telekommunikation</t>
  </si>
  <si>
    <t>Almindeligt kontorarbejde</t>
  </si>
  <si>
    <t>Almindeligt sekretærarbejde</t>
  </si>
  <si>
    <t>Tekstbehandlingsarbejde</t>
  </si>
  <si>
    <t>Dataregistreringsarbejde</t>
  </si>
  <si>
    <t>Kundebetjening og kassererarbejde i pengeinstitutter</t>
  </si>
  <si>
    <t>Bookmaker- og croupierarbejde samt beslægtede funktioner</t>
  </si>
  <si>
    <t>Pantelånerarbejde og beslægtede funktioner</t>
  </si>
  <si>
    <t>Inkassatorarbejde og beslægtede funktioner</t>
  </si>
  <si>
    <t>Rejsebureauarbejde</t>
  </si>
  <si>
    <t>Informationsarbejde på kundekontaktcentre</t>
  </si>
  <si>
    <t>Telefonomstillingsarbejde</t>
  </si>
  <si>
    <t>Hotelreceptionistarbejde</t>
  </si>
  <si>
    <t>Oplysnings- og forespørgselsarbejde</t>
  </si>
  <si>
    <t>Almindeligt receptionistarbejde, ekskl. hotelreceptionistarbejde</t>
  </si>
  <si>
    <t>Interviewarbejde inden for markedsundersøgelse</t>
  </si>
  <si>
    <t>Andet kundeinformationsarbejde</t>
  </si>
  <si>
    <t>Almindeligt regnskabs- og bogføringsarbejde</t>
  </si>
  <si>
    <t>Almindeligt kontorarbejde ifm. udfærdigelse af statistik</t>
  </si>
  <si>
    <t>Almindeligt kontorarbejde ifm. finansielle transaktioner</t>
  </si>
  <si>
    <t>Forsikringsteknisk arbejde ifm. oprettelse og vedligeholdelse af forsikringspolicer</t>
  </si>
  <si>
    <t>Forsikringsteknisk arbejde ifm. sagbehandling af skader</t>
  </si>
  <si>
    <t>Almindeligt kontorarbejde inden for lønbehandling</t>
  </si>
  <si>
    <t>Lagerekspeditionsarbejde</t>
  </si>
  <si>
    <t>Registreringsarbejde inden for produktion</t>
  </si>
  <si>
    <t>Tilrettelæggelse af jernbanetransport</t>
  </si>
  <si>
    <t>Tilrettelæggelse af lufttransport ¿ ikke flyveledere</t>
  </si>
  <si>
    <t>Tilrettelæggelse af godstransport til lands</t>
  </si>
  <si>
    <t>Tilrettelæggelse af udrykning  ifm. redningstjeneste</t>
  </si>
  <si>
    <t>Anden tilrettelæggelse af transport</t>
  </si>
  <si>
    <t>Biblioteksservicearbejde</t>
  </si>
  <si>
    <t>Postbudarbejde</t>
  </si>
  <si>
    <t>Betjentarbejde, intern postsortering og omdeling</t>
  </si>
  <si>
    <t>Korrekturlæsning og beslægtede funktioner</t>
  </si>
  <si>
    <t>Arbejde med arkivering og kopiering</t>
  </si>
  <si>
    <t>Almindeligt kontorarbejde inden for HR</t>
  </si>
  <si>
    <t>Almindeligt kontor- og kundeservicearbejde ikke klassificeret andetsteds</t>
  </si>
  <si>
    <t>Passagerbetjening under rejser</t>
  </si>
  <si>
    <t>Passagerbetjening i lufthavne og havneterminaler</t>
  </si>
  <si>
    <t>Kontrolarbejde under rejser</t>
  </si>
  <si>
    <t>Turist- og rejselederarbejde</t>
  </si>
  <si>
    <t>Kokkearbejde (ekskl. køkkenchefarbejde)</t>
  </si>
  <si>
    <t>Tjenerarbejde</t>
  </si>
  <si>
    <t>Bartenderarbejde</t>
  </si>
  <si>
    <t>Frisørarbejde</t>
  </si>
  <si>
    <t>Kosmetologarbejde og beslægtede funktioner</t>
  </si>
  <si>
    <t>Rengøringsinspektørarbejde</t>
  </si>
  <si>
    <t>Husbestyrerarbejde</t>
  </si>
  <si>
    <t>Ejendomsinspektørarbejde</t>
  </si>
  <si>
    <t>Astrologiarbejde og beslægtede funktioner</t>
  </si>
  <si>
    <t>Kammertjenerarbejde</t>
  </si>
  <si>
    <t>Bedemandsarbejde</t>
  </si>
  <si>
    <t>Arbejde med kæledyr</t>
  </si>
  <si>
    <t>Kørelærerarbejde</t>
  </si>
  <si>
    <t>Servicearbejde ikke klassificeret andetsteds</t>
  </si>
  <si>
    <t>Stade- og markedssalg</t>
  </si>
  <si>
    <t>Gadesalg af fødevarer</t>
  </si>
  <si>
    <t>Salgsarbejde i butik</t>
  </si>
  <si>
    <t>Kasseassistentarbejde og beslægtet kundebetjening</t>
  </si>
  <si>
    <t>Modelarbejde</t>
  </si>
  <si>
    <t>Demonstrationsarbejde</t>
  </si>
  <si>
    <t>Salgsarbejde i kundekontaktcentre</t>
  </si>
  <si>
    <t>Salgsarbejde på servicestationer</t>
  </si>
  <si>
    <t>Kasseassistentarbejde inden for catering og fastfood</t>
  </si>
  <si>
    <t>Salgsarbejde ikke klassificeret andetsteds</t>
  </si>
  <si>
    <t>Dagplejearbejde</t>
  </si>
  <si>
    <t>Pædagogisk medhjælp</t>
  </si>
  <si>
    <t>Andet børneomsorgsarbejde</t>
  </si>
  <si>
    <t>Hjælpelærerarbejde</t>
  </si>
  <si>
    <t>Social- og sundhedsarbejde på institutioner og hospitaler, medhjælpere</t>
  </si>
  <si>
    <t>Social- og sundhedsarbejde på institutioner og hospitaler, assistenter</t>
  </si>
  <si>
    <t>Portørarbejde på institutioner og hospitaler</t>
  </si>
  <si>
    <t>Andet omsorgsarbejde på institutioner og hospitaler</t>
  </si>
  <si>
    <t>Social- og sundhedsarbejde i private hjem, medhjælpere</t>
  </si>
  <si>
    <t>Social- og sundhedsarbejde i private hjem, assistenter</t>
  </si>
  <si>
    <t>Andet omsorgsarbejde inden for sundhedsområdet</t>
  </si>
  <si>
    <t>Brandslukningsarbejde</t>
  </si>
  <si>
    <t>Politiarbejde</t>
  </si>
  <si>
    <t>Fængselsbetjentarbejde</t>
  </si>
  <si>
    <t>Sikkerhedsvagtarbejde</t>
  </si>
  <si>
    <t>Andet rednings- og overvågningsarbejde (ekskl. ambulancebehandlere)</t>
  </si>
  <si>
    <t>Dyrkning af markafgrøder inden for jordbrug</t>
  </si>
  <si>
    <t>Dyrkning af afgrøder fra træer og buske</t>
  </si>
  <si>
    <t>Produktions- og væksthusgartnerarbejde</t>
  </si>
  <si>
    <t>Anlægsgartnerarbejde</t>
  </si>
  <si>
    <t>Andet gartnerarbejde</t>
  </si>
  <si>
    <t>Dyrkning af blandede afgrøder</t>
  </si>
  <si>
    <t>Arbejde med opdræt af husdyr, ekskl. fjerkræ</t>
  </si>
  <si>
    <t>Arbejde med opdræt af fjerkræ</t>
  </si>
  <si>
    <t>Arbejde med bi- og silkeavl</t>
  </si>
  <si>
    <t>Andet arbejde med dyreopdræt</t>
  </si>
  <si>
    <t>Arbejde med dyrkning af plantevækst og opdræt af dyr</t>
  </si>
  <si>
    <t>Skovbrugsarbejde</t>
  </si>
  <si>
    <t>Arbejde inden for akvakultur</t>
  </si>
  <si>
    <t>Arbejde med fiskeri i kyst- og søområder</t>
  </si>
  <si>
    <t>Arbejde med havfiskeri</t>
  </si>
  <si>
    <t>Jagtarbejde</t>
  </si>
  <si>
    <t>Murerarbejde</t>
  </si>
  <si>
    <t>Brolægningsarbejde</t>
  </si>
  <si>
    <t>Stenhuggerarbejde</t>
  </si>
  <si>
    <t>Struktørarbejde</t>
  </si>
  <si>
    <t>Terrazzoarbejde</t>
  </si>
  <si>
    <t>Tømrer- og snedkerarbejde, byggeri</t>
  </si>
  <si>
    <t>Tømrer- og snedkerarbejde, skibe</t>
  </si>
  <si>
    <t>Fremstilling af bygningskonstruktioner i stål</t>
  </si>
  <si>
    <t>Andet bygningsarbejde i øvrigt</t>
  </si>
  <si>
    <t>Arbejde med tagdækning</t>
  </si>
  <si>
    <t>Arbejde med gulv- og klinkelægning</t>
  </si>
  <si>
    <t>Stukkatørarbejde</t>
  </si>
  <si>
    <t>Arbejde med isolering af bygninger</t>
  </si>
  <si>
    <t>Glarmesterarbejde</t>
  </si>
  <si>
    <t>VVS-arbejde</t>
  </si>
  <si>
    <t>Montørarbejde inden for klima- og køleteknik</t>
  </si>
  <si>
    <t>Bygningsmaler- og tapetsererarbejde</t>
  </si>
  <si>
    <t>Skibsmalerarbejde</t>
  </si>
  <si>
    <t>Sprøjtelakererarbejde</t>
  </si>
  <si>
    <t>Skorstensfejerarbejde</t>
  </si>
  <si>
    <t>Kemisk og mekanisk rensning af bygningsoverflader</t>
  </si>
  <si>
    <t>Formning og støbning af emner i metal</t>
  </si>
  <si>
    <t>Svejsearbejde og skærebrænding</t>
  </si>
  <si>
    <t>Pladesmedarbejde</t>
  </si>
  <si>
    <t>Stålkonstruktionsarbejde</t>
  </si>
  <si>
    <t>Riggerarbejde</t>
  </si>
  <si>
    <t>Smedearbejde</t>
  </si>
  <si>
    <t>Værktøjsmagerarbejde</t>
  </si>
  <si>
    <t>Operatør- og opstillingsarbejde af metalforarbejdningsmaskiner</t>
  </si>
  <si>
    <t>Arbejde med polering og slibning af emner i metal</t>
  </si>
  <si>
    <t>Mekanikerarbejde, person- og varevogne</t>
  </si>
  <si>
    <t>Mekanikerarbejde, lastvogne</t>
  </si>
  <si>
    <t>Mekanikerarbejde, andre områder</t>
  </si>
  <si>
    <t>Flymekanikerarbejde</t>
  </si>
  <si>
    <t>Mekanikerarbejde, landbrugs- og industrimaskiner</t>
  </si>
  <si>
    <t>Mekanikerarbejde, cykler og tilsvarende køretøjer</t>
  </si>
  <si>
    <t>Finmekanikerarbejde</t>
  </si>
  <si>
    <t>Håndfremstilling af musikinstrumenter</t>
  </si>
  <si>
    <t>Juveler-, guld- og sølvsmedearbejde</t>
  </si>
  <si>
    <t>Pottemagerarbejde og beslægtede funktioner</t>
  </si>
  <si>
    <t>Glaspusterarbejde og arbejde med færdiggørelse af glasprodukter</t>
  </si>
  <si>
    <t>Skiltemalerarbejde</t>
  </si>
  <si>
    <t>Porcelænsmalerarbejde</t>
  </si>
  <si>
    <t>Andet male- og dekorationsarbejde inden for præcisionshåndværk</t>
  </si>
  <si>
    <t>Håndfremstilling af produkter i træ og tilsvarende materialer</t>
  </si>
  <si>
    <t>Håndfremstilling af produkter i tekstil, læder og tilsvarende materialer</t>
  </si>
  <si>
    <t>Andet præcisionshåndværk</t>
  </si>
  <si>
    <t>Prepressarbejde og grafisk formfremstilling</t>
  </si>
  <si>
    <t>Trykkerarbejde</t>
  </si>
  <si>
    <t>Arbejde med færdiggørelse og indbinding af trykte produkter</t>
  </si>
  <si>
    <t>Elektrikerarbejde</t>
  </si>
  <si>
    <t>Elektromekanikerarbejde</t>
  </si>
  <si>
    <t>Installation og reparation af elektrisk ledningsføring inden for forsyningsvirksomhed</t>
  </si>
  <si>
    <t>Elektronikmekanikerarbejde</t>
  </si>
  <si>
    <t>Installation og service inden for informations- og kommunikationsteknologi</t>
  </si>
  <si>
    <t>Slagterarbejde i detailhandelen</t>
  </si>
  <si>
    <t>Håndforarbejdning af fisk og skaldyr i detailhandelen</t>
  </si>
  <si>
    <t>Anden håndforarbejdning af fødevarer i detailhandelen</t>
  </si>
  <si>
    <t>Bager- og konditorarbejde, ekskl. industri</t>
  </si>
  <si>
    <t>Fremstilling af mejeriprodukter</t>
  </si>
  <si>
    <t>Fremstilling og konservering af frugt, grøntsager og tilsvarende produkter</t>
  </si>
  <si>
    <t>Prøvesmagning af nærings- og nydelsesmidler</t>
  </si>
  <si>
    <t>Fremstilling af tobaksprodukter</t>
  </si>
  <si>
    <t>Håndværkspræget træimprægneringsarbejde</t>
  </si>
  <si>
    <t>Møbelsnedkerarbejde</t>
  </si>
  <si>
    <t>Operatør- og opstillingsarbejde af træbearbejdningsmaskiner</t>
  </si>
  <si>
    <t>Skrædderarbejde og beslægtet arbejde</t>
  </si>
  <si>
    <t>Tilskærerarbejde</t>
  </si>
  <si>
    <t>Syarbejde og beslægtet arbejde</t>
  </si>
  <si>
    <t>Møbelpolstrerarbejde</t>
  </si>
  <si>
    <t>Forarbejdning af skind</t>
  </si>
  <si>
    <t>Skomagerarbejde og beslægtet arbejde</t>
  </si>
  <si>
    <t>Dykkerarbejde</t>
  </si>
  <si>
    <t>Sprængnings- og fyrværkeriarbejde</t>
  </si>
  <si>
    <t>Kvalitetskontrol og testarbejde af produkter (undtagen nærings- og nydelsesmidler)</t>
  </si>
  <si>
    <t>Desinfektionsarbejde og skadedyrsbekæmpelse</t>
  </si>
  <si>
    <t>Håndværkspræget arbejde ikke klassificeret andetsteds</t>
  </si>
  <si>
    <t>Mine- og stenbrudsarbejde</t>
  </si>
  <si>
    <t>Operatørarbejde ved anlæg til råstofudvinding</t>
  </si>
  <si>
    <t>Boreanlægsarbejde</t>
  </si>
  <si>
    <t>Operatørarbejde ved fremstilling af cement-, sten- og andre råstofprodukter</t>
  </si>
  <si>
    <t>Operatørarbejde ved forarbejdning af metal</t>
  </si>
  <si>
    <t>Operatørarbejde ved overfladebehandling af metal</t>
  </si>
  <si>
    <t>Operatørarbejde ved fremstilling af kemiske produkter i medicinalindustri</t>
  </si>
  <si>
    <t>Operatørarbejde ved fremstilling af kemiske produkter ekskl. medicinalindustri</t>
  </si>
  <si>
    <t>Operatørarbejde ved fremstilling af fotografiske produkter</t>
  </si>
  <si>
    <t>Operatørarbejde ved fremstilling af gummiprodukter</t>
  </si>
  <si>
    <t>Operatørarbejde ved fremstilling af plast til videreforarbejdning</t>
  </si>
  <si>
    <t>Operatørarbejde ved fremstilling af plastprodukter</t>
  </si>
  <si>
    <t>Operatørarbejde ved fremstilling af papirprodukter</t>
  </si>
  <si>
    <t>Operatørarbejde ved forarbejdning af materialer i fiber og tekstil</t>
  </si>
  <si>
    <t>Operatørarbejde ved vævning og strikning</t>
  </si>
  <si>
    <t>Operatørarbejde af symaskiner</t>
  </si>
  <si>
    <t>Operatørarbejde ved blegning, farvning og rensning af tekstiler</t>
  </si>
  <si>
    <t>Operatørarbejde ved klargøring af pels og læder</t>
  </si>
  <si>
    <t>Operatørarbejde ved fremstilling af fodtøj og tilsvarende produkter</t>
  </si>
  <si>
    <t>Operatørarbejde af vaskemaskiner</t>
  </si>
  <si>
    <t>Andet operatørarbejde ved fremstilling af tekstil-, pels- og læderprodukter</t>
  </si>
  <si>
    <t>Industrielt slagteriarbejde og behandling af råvarer (ekskl. fjerkræ)</t>
  </si>
  <si>
    <t>Industrielt slagteriarbejde og behandling af råvarer, fjerkræ</t>
  </si>
  <si>
    <t>Behandling af råvarer i fiskeindustri</t>
  </si>
  <si>
    <t>Arbejde med færdigvareproduktion i nærings- og nydelsesmiddelindustri</t>
  </si>
  <si>
    <t>Operatørarbejde ved fremstilling af papirmasse og papirprodukter</t>
  </si>
  <si>
    <t>Operatørarbejde ved træforarbejdning</t>
  </si>
  <si>
    <t>Operatørarbejde ved fremstilling af glas og keramik</t>
  </si>
  <si>
    <t>Operatørarbejde ved dampmaskine- og kedelanlæg i forsyningsindustri</t>
  </si>
  <si>
    <t>Andet operatørarbejde ved dampmaskine- og kedelanlæg</t>
  </si>
  <si>
    <t>Operatørarbejde af maskiner til pakning, påfyldning og mærkning</t>
  </si>
  <si>
    <t>Operatørarbejde ved stationære anlæg inden for vandforsyning og forbrændnings- og rensningsanlæg</t>
  </si>
  <si>
    <t>Andet operatørarbejde ved stationære anlæg og maskiner</t>
  </si>
  <si>
    <t>Monteringsarbejde af mekaniske maskiner</t>
  </si>
  <si>
    <t>Monteringsarbejde af elektrisk og elektronisk udstyr</t>
  </si>
  <si>
    <t>Andet monteringsarbejde</t>
  </si>
  <si>
    <t>Togførerarbejde</t>
  </si>
  <si>
    <t>Tograngering</t>
  </si>
  <si>
    <t>Motorcykelførere</t>
  </si>
  <si>
    <t>Hyrevogns- og privatchaufførarbejde eller tilsvarende chaufførarbejde</t>
  </si>
  <si>
    <t>Varevognschaufførarbejde</t>
  </si>
  <si>
    <t>Varevognschaufførarbejde med salgs- og repræsentationsopgaver</t>
  </si>
  <si>
    <t>Varevognschaufførarbejde med renovationsopgaver</t>
  </si>
  <si>
    <t>Buschauffører, national rutefart</t>
  </si>
  <si>
    <t>Buschauffører, national turistfart</t>
  </si>
  <si>
    <t>Buschauffører, international rutefart</t>
  </si>
  <si>
    <t>Buschauffører, international turistfart</t>
  </si>
  <si>
    <t>Lastbilchauffører, national transport</t>
  </si>
  <si>
    <t>Lastbilchauffører, international transport</t>
  </si>
  <si>
    <t>Lastbilchauffører med salgs- og repræsentationsopgaver</t>
  </si>
  <si>
    <t>Lastbilchauffører med renovationsopgaver</t>
  </si>
  <si>
    <t>Lastbilchauffører med flytteopgaver</t>
  </si>
  <si>
    <t>Lastbilchauffører med farligt gods</t>
  </si>
  <si>
    <t>Førere af mobile landsbrugs- og skovbrugsmaskiner</t>
  </si>
  <si>
    <t>Entreprenørmaskinførerarbejde</t>
  </si>
  <si>
    <t>Kran- og liftførerarbejde ved stationære enheder</t>
  </si>
  <si>
    <t>Kran- og liftførerarbejde ved mobile enheder</t>
  </si>
  <si>
    <t>Truckførerarbejde</t>
  </si>
  <si>
    <t>Dæksarbejde og medhjælp om bord på skibe</t>
  </si>
  <si>
    <t>Rengøringsarbejde i private hjem</t>
  </si>
  <si>
    <t>Rengøring af kontorer og beboelsesområder</t>
  </si>
  <si>
    <t>Rengøring på hospitaler o.l.</t>
  </si>
  <si>
    <t>Rengøring af industrilokaliteter</t>
  </si>
  <si>
    <t>Rengøring på hoteller o.l.</t>
  </si>
  <si>
    <t>Rengøring af passagerområder i transportmidler</t>
  </si>
  <si>
    <t>Tværgående serviceopgaver</t>
  </si>
  <si>
    <t>Manuel vask og presning af tøj</t>
  </si>
  <si>
    <t>Rengøring af transportmidler</t>
  </si>
  <si>
    <t>Vinduespudsning</t>
  </si>
  <si>
    <t>Rengøring ved skadeservice</t>
  </si>
  <si>
    <t>Andet rengøringsarbejde</t>
  </si>
  <si>
    <t>Manuelt arbejde inden for agerbrug</t>
  </si>
  <si>
    <t>Manuelt arbejde inden for husdyravl</t>
  </si>
  <si>
    <t>Manuelt arbejde inden for både agerbrug og husdyravl</t>
  </si>
  <si>
    <t>Manuelt arbejde inden for havebrug og væksthusgartneri</t>
  </si>
  <si>
    <t>Manuelt skovarbejde</t>
  </si>
  <si>
    <t>Manuelt arbejde inden for fiskeri og akvakultur</t>
  </si>
  <si>
    <t>Manuelt arbejde inden for råstofudvinding</t>
  </si>
  <si>
    <t>Asfaltarbejde</t>
  </si>
  <si>
    <t>Medhjælp med brolæggerarbejde</t>
  </si>
  <si>
    <t>Kabelarbejde</t>
  </si>
  <si>
    <t>Montage af luftledninger</t>
  </si>
  <si>
    <t>Jord-, kloak- og andet anlægsarbejde</t>
  </si>
  <si>
    <t>Medhjælp ved isoleringsarbejde</t>
  </si>
  <si>
    <t>Medhjælp ved tagdækningsarbejde</t>
  </si>
  <si>
    <t>Medhjælp ved murerarbejde</t>
  </si>
  <si>
    <t>Beton- jernbeton og montagearbejde</t>
  </si>
  <si>
    <t>Opsætning og nedtagning af stilladser</t>
  </si>
  <si>
    <t>Medhjælp ved andet bygningsarbejde</t>
  </si>
  <si>
    <t>Pakkeriarbejde</t>
  </si>
  <si>
    <t>Andet manuelt produktionsarbejde</t>
  </si>
  <si>
    <t>Førere af hånd- og pedaldrevne køretøjer</t>
  </si>
  <si>
    <t>Førere af dyretrukne køretøjer og maskineri</t>
  </si>
  <si>
    <t>Arbejde med lastning og losning</t>
  </si>
  <si>
    <t>Lager- og pakhusarbejde</t>
  </si>
  <si>
    <t>Medhjælp i butik mv. (ekskl. kassearbejde)</t>
  </si>
  <si>
    <t>Tilberedning af fastfood</t>
  </si>
  <si>
    <t>Medhjælp i køkken</t>
  </si>
  <si>
    <t>Afrydning i restaurantioner o.l.</t>
  </si>
  <si>
    <t>Servicearbejde på gaden</t>
  </si>
  <si>
    <t>Gadesalg (undtagen madvarer)</t>
  </si>
  <si>
    <t>Indsamling af skrald og genbrugsartikler</t>
  </si>
  <si>
    <t>Arbejde med affaldssortering</t>
  </si>
  <si>
    <t>Gadefejning og beslægtet arbejde</t>
  </si>
  <si>
    <t>Kurérarbejde</t>
  </si>
  <si>
    <t>Transport af bagage</t>
  </si>
  <si>
    <t>Forefaldende arbejde</t>
  </si>
  <si>
    <t>Måleraflæsning og tømning af salgsautomater</t>
  </si>
  <si>
    <t>Arbejde med indsamling af vand og brænde</t>
  </si>
  <si>
    <t>Andet manuelt arbejde</t>
  </si>
  <si>
    <t>Indrapporteres ikke
oprettes også som ny og konvertees ikke.
Kode til kørsel a5015</t>
  </si>
  <si>
    <t>ej konverteret fra p0300 til p0350
oprettet p.g.a. detail</t>
  </si>
  <si>
    <t>Discokoder til opslag</t>
  </si>
  <si>
    <t>0800 Employee type</t>
  </si>
  <si>
    <t>Løninformationer:</t>
  </si>
  <si>
    <t>Stamdata:</t>
  </si>
  <si>
    <t>Arbejdssted</t>
  </si>
  <si>
    <t>Adresse</t>
  </si>
  <si>
    <t>Postnummer</t>
  </si>
  <si>
    <t xml:space="preserve">Lautrupvang 6
</t>
  </si>
  <si>
    <t>1002949033 Atea A/S</t>
  </si>
  <si>
    <t xml:space="preserve">Toldbodvej 1
</t>
  </si>
  <si>
    <t>1002949045 Atea A/S</t>
  </si>
  <si>
    <t>Tangen 4</t>
  </si>
  <si>
    <t>1004993825 Atea A/S</t>
  </si>
  <si>
    <t xml:space="preserve">Telegrafvej 2
</t>
  </si>
  <si>
    <t>1014155003 Atea A/S</t>
  </si>
  <si>
    <t>Farvervej 20</t>
  </si>
  <si>
    <t>1015764828 Atea A/S</t>
  </si>
  <si>
    <t>Birkemosevej 9</t>
  </si>
  <si>
    <t>1016080876 Atea A/S</t>
  </si>
  <si>
    <t>Lyngvej 3</t>
  </si>
  <si>
    <t>1016746912 Atea A/S</t>
  </si>
  <si>
    <t>Roskildevej 325A</t>
  </si>
  <si>
    <t>1017915270 Atea A/S</t>
  </si>
  <si>
    <t>1008225393 Atea Danmark A/S</t>
  </si>
  <si>
    <t>Lautrupvang 6</t>
  </si>
  <si>
    <t>1008225407 Atea Danmark A/S</t>
  </si>
  <si>
    <t>1011818729 Atea Finans A/S</t>
  </si>
  <si>
    <t>1017822442 Atea Finans A/S</t>
  </si>
  <si>
    <t>1017990760 Atea Finans A/S</t>
  </si>
  <si>
    <t>Til opslag</t>
  </si>
  <si>
    <t>Overenskomst</t>
  </si>
  <si>
    <t>Tekst</t>
  </si>
  <si>
    <t>DANSK ELFO</t>
  </si>
  <si>
    <t>ELFO-ELEV</t>
  </si>
  <si>
    <t>ELFO-FLEKS</t>
  </si>
  <si>
    <t>ELFO-TIME</t>
  </si>
  <si>
    <t>HANDEL</t>
  </si>
  <si>
    <t>HK-CSC</t>
  </si>
  <si>
    <t>KANTINE-DI</t>
  </si>
  <si>
    <t>KANTINE-FA</t>
  </si>
  <si>
    <t>LAGERFULD</t>
  </si>
  <si>
    <t>LAGERTIME</t>
  </si>
  <si>
    <t>METAL</t>
  </si>
  <si>
    <t>METAL-ELEV</t>
  </si>
  <si>
    <t>Kr.</t>
  </si>
  <si>
    <t>Pensionsselskab</t>
  </si>
  <si>
    <t>Yes/No</t>
  </si>
  <si>
    <t>Ja/Nej</t>
  </si>
  <si>
    <t>Ja</t>
  </si>
  <si>
    <t>Nej</t>
  </si>
  <si>
    <t>Ingen</t>
  </si>
  <si>
    <t>Fri telefon</t>
  </si>
  <si>
    <t>Stilles firmamobil til rådighed?</t>
  </si>
  <si>
    <t>Fri bil: Overtagelsesdato</t>
  </si>
  <si>
    <t>dd-mm-åååå</t>
  </si>
  <si>
    <t>Skal Arbejdsfunktion (DISCO-kode) være magen til en anden medarbejder? Angiv initialer</t>
  </si>
  <si>
    <t>Initialer</t>
  </si>
  <si>
    <t>Workforce</t>
  </si>
  <si>
    <t>ADMINISTRATION OG SUPPORT</t>
  </si>
  <si>
    <t>DIRECT BILLABLE</t>
  </si>
  <si>
    <t>SALES FORCE</t>
  </si>
  <si>
    <t>Pensionsselskab/Bank</t>
  </si>
  <si>
    <t>Miljøtillæg</t>
  </si>
  <si>
    <t>Fri bil: egenbetaling (TCO)</t>
  </si>
  <si>
    <t>Kr. årligt</t>
  </si>
  <si>
    <t>Timeløn</t>
  </si>
  <si>
    <t>CPR nr</t>
  </si>
  <si>
    <t>Vej navn og nr</t>
  </si>
  <si>
    <t>Post nr</t>
  </si>
  <si>
    <t>By</t>
  </si>
  <si>
    <t>E-mail (til fremsendelse af lønseddel)</t>
  </si>
  <si>
    <t>Costcenter</t>
  </si>
  <si>
    <t>Bankoplysninger</t>
  </si>
  <si>
    <t xml:space="preserve">Firma </t>
  </si>
  <si>
    <t>441900 - Alm. kontor og kundeservicearb. ikke klassificert</t>
  </si>
  <si>
    <t>243400 - Arbejde inden for salg af informations- og kommunikation</t>
  </si>
  <si>
    <t xml:space="preserve">422600 - Almindeligt receptionistarb., ekskl. hotelrecep. </t>
  </si>
  <si>
    <t>Gyldig fra (dato)</t>
  </si>
  <si>
    <t>Gyldig til  (dato)</t>
  </si>
  <si>
    <t>Antal</t>
  </si>
  <si>
    <t xml:space="preserve">Timer til udbetaling </t>
  </si>
  <si>
    <r>
      <t xml:space="preserve">Skal Arbejdsfunktion (DISCO-kode)                                      </t>
    </r>
    <r>
      <rPr>
        <b/>
        <sz val="9"/>
        <rFont val="Calibri"/>
        <family val="2"/>
        <scheme val="minor"/>
      </rPr>
      <t xml:space="preserve">Skal altid være udfyldt.  </t>
    </r>
  </si>
  <si>
    <t>Vælg fra dropdown              (3 valgmuligheder)</t>
  </si>
  <si>
    <t>Agazoth</t>
  </si>
  <si>
    <t>Agazoth Danmark A/S</t>
  </si>
  <si>
    <t>Agazoth Finans A/S</t>
  </si>
  <si>
    <t>Agazoth A/S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</si>
</sst>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0"/>
      <name val="Arial"/>
    </font>
    <font>
      <b/>
      <sz val="12"/>
      <name val="Times New Roman"/>
      <family val="1"/>
    </font>
    <font>
      <b/>
      <sz val="10"/>
      <name val="Times New Roman"/>
      <family val="1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9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9"/>
      <name val="Calibri"/>
      <family val="2"/>
      <scheme val="minor"/>
    </font>
    <font>
      <i/>
      <sz val="9"/>
      <name val="Calibri"/>
      <family val="2"/>
      <scheme val="minor"/>
    </font>
    <font>
      <sz val="10"/>
      <color rgb="FF000000"/>
      <name val="Arial"/>
      <family val="2"/>
    </font>
    <font>
      <b/>
      <sz val="12"/>
      <color rgb="FF3366FF"/>
      <name val="Calibri"/>
      <family val="2"/>
    </font>
    <font>
      <sz val="10"/>
      <color rgb="FF222222"/>
      <name val="Arial"/>
      <family val="2"/>
    </font>
    <font>
      <b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111">
    <xf numFmtId="0" fontId="0" fillId="0" borderId="0" xfId="0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Alignment="1">
      <alignment vertical="center"/>
    </xf>
    <xf numFmtId="0" fontId="4" fillId="0" borderId="0" xfId="0" applyFont="1"/>
    <xf numFmtId="0" fontId="5" fillId="0" borderId="0" xfId="0" applyFont="1"/>
    <xf numFmtId="0" fontId="7" fillId="0" borderId="0" xfId="1" applyFont="1"/>
    <xf numFmtId="0" fontId="7" fillId="0" borderId="0" xfId="1" applyFont="1" applyAlignment="1">
      <alignment wrapText="1"/>
    </xf>
    <xf numFmtId="0" fontId="8" fillId="0" borderId="0" xfId="0" applyFont="1"/>
    <xf numFmtId="0" fontId="8" fillId="0" borderId="0" xfId="0" applyFont="1" applyBorder="1" applyAlignment="1">
      <alignment horizontal="left"/>
    </xf>
    <xf numFmtId="0" fontId="9" fillId="0" borderId="0" xfId="0" applyFont="1" applyBorder="1" applyAlignment="1" applyProtection="1">
      <alignment horizontal="left"/>
    </xf>
    <xf numFmtId="0" fontId="8" fillId="0" borderId="0" xfId="0" applyFont="1" applyAlignment="1">
      <alignment horizontal="left"/>
    </xf>
    <xf numFmtId="0" fontId="10" fillId="0" borderId="0" xfId="0" applyFont="1"/>
    <xf numFmtId="0" fontId="10" fillId="0" borderId="0" xfId="0" applyFont="1" applyAlignment="1">
      <alignment horizontal="left"/>
    </xf>
    <xf numFmtId="0" fontId="11" fillId="3" borderId="0" xfId="1" applyFont="1" applyFill="1"/>
    <xf numFmtId="0" fontId="10" fillId="3" borderId="0" xfId="0" applyFont="1" applyFill="1"/>
    <xf numFmtId="0" fontId="12" fillId="0" borderId="2" xfId="0" applyFont="1" applyBorder="1" applyAlignment="1">
      <alignment horizontal="left"/>
    </xf>
    <xf numFmtId="0" fontId="12" fillId="0" borderId="4" xfId="0" applyFont="1" applyBorder="1" applyAlignment="1">
      <alignment horizontal="center"/>
    </xf>
    <xf numFmtId="0" fontId="10" fillId="0" borderId="1" xfId="0" applyFont="1" applyBorder="1" applyAlignment="1">
      <alignment horizontal="left"/>
    </xf>
    <xf numFmtId="0" fontId="10" fillId="0" borderId="0" xfId="0" applyFont="1" applyBorder="1" applyAlignment="1">
      <alignment horizontal="left"/>
    </xf>
    <xf numFmtId="0" fontId="10" fillId="0" borderId="5" xfId="0" applyFont="1" applyBorder="1" applyAlignment="1">
      <alignment horizontal="left"/>
    </xf>
    <xf numFmtId="0" fontId="8" fillId="0" borderId="2" xfId="0" applyFont="1" applyBorder="1" applyAlignment="1">
      <alignment horizontal="left"/>
    </xf>
    <xf numFmtId="0" fontId="10" fillId="0" borderId="4" xfId="0" applyFont="1" applyBorder="1" applyAlignment="1">
      <alignment horizontal="left"/>
    </xf>
    <xf numFmtId="0" fontId="10" fillId="0" borderId="9" xfId="0" applyFont="1" applyBorder="1" applyAlignment="1">
      <alignment horizontal="left"/>
    </xf>
    <xf numFmtId="0" fontId="10" fillId="0" borderId="11" xfId="0" applyFont="1" applyBorder="1" applyAlignment="1">
      <alignment horizontal="left"/>
    </xf>
    <xf numFmtId="0" fontId="13" fillId="0" borderId="5" xfId="0" applyFont="1" applyBorder="1" applyAlignment="1">
      <alignment horizontal="left"/>
    </xf>
    <xf numFmtId="0" fontId="10" fillId="0" borderId="0" xfId="0" applyFont="1" applyFill="1" applyBorder="1" applyAlignment="1" applyProtection="1">
      <alignment horizontal="left"/>
      <protection locked="0"/>
    </xf>
    <xf numFmtId="0" fontId="9" fillId="0" borderId="2" xfId="0" applyFont="1" applyBorder="1" applyAlignment="1" applyProtection="1">
      <alignment horizontal="left"/>
    </xf>
    <xf numFmtId="0" fontId="13" fillId="0" borderId="3" xfId="0" applyFont="1" applyFill="1" applyBorder="1" applyAlignment="1" applyProtection="1">
      <alignment horizontal="left"/>
    </xf>
    <xf numFmtId="0" fontId="14" fillId="0" borderId="4" xfId="0" applyFont="1" applyBorder="1" applyAlignment="1" applyProtection="1">
      <alignment horizontal="left"/>
    </xf>
    <xf numFmtId="0" fontId="14" fillId="0" borderId="5" xfId="0" applyFont="1" applyBorder="1" applyAlignment="1" applyProtection="1">
      <alignment horizontal="left"/>
    </xf>
    <xf numFmtId="0" fontId="13" fillId="0" borderId="0" xfId="0" applyFont="1" applyFill="1" applyBorder="1" applyAlignment="1" applyProtection="1">
      <alignment horizontal="left"/>
      <protection locked="0"/>
    </xf>
    <xf numFmtId="0" fontId="10" fillId="4" borderId="0" xfId="0" applyFont="1" applyFill="1" applyBorder="1" applyAlignment="1" applyProtection="1">
      <alignment horizontal="left"/>
      <protection locked="0"/>
    </xf>
    <xf numFmtId="0" fontId="10" fillId="4" borderId="10" xfId="0" applyFont="1" applyFill="1" applyBorder="1" applyAlignment="1" applyProtection="1">
      <alignment horizontal="left"/>
      <protection locked="0"/>
    </xf>
    <xf numFmtId="0" fontId="13" fillId="4" borderId="0" xfId="0" applyFont="1" applyFill="1" applyBorder="1" applyAlignment="1" applyProtection="1">
      <alignment horizontal="left"/>
      <protection locked="0"/>
    </xf>
    <xf numFmtId="4" fontId="10" fillId="4" borderId="0" xfId="0" applyNumberFormat="1" applyFont="1" applyFill="1" applyBorder="1" applyAlignment="1" applyProtection="1">
      <alignment horizontal="left"/>
      <protection locked="0"/>
    </xf>
    <xf numFmtId="14" fontId="10" fillId="4" borderId="0" xfId="0" applyNumberFormat="1" applyFont="1" applyFill="1" applyBorder="1" applyAlignment="1" applyProtection="1">
      <alignment horizontal="left"/>
      <protection locked="0"/>
    </xf>
    <xf numFmtId="14" fontId="12" fillId="4" borderId="3" xfId="0" applyNumberFormat="1" applyFont="1" applyFill="1" applyBorder="1" applyAlignment="1">
      <alignment horizontal="center"/>
    </xf>
    <xf numFmtId="0" fontId="12" fillId="4" borderId="3" xfId="0" applyFont="1" applyFill="1" applyBorder="1" applyAlignment="1">
      <alignment horizontal="center"/>
    </xf>
    <xf numFmtId="0" fontId="6" fillId="5" borderId="0" xfId="1" applyFill="1"/>
    <xf numFmtId="0" fontId="6" fillId="0" borderId="0" xfId="1"/>
    <xf numFmtId="0" fontId="6" fillId="0" borderId="0" xfId="1" applyAlignment="1">
      <alignment wrapText="1"/>
    </xf>
    <xf numFmtId="0" fontId="7" fillId="4" borderId="0" xfId="1" applyFont="1" applyFill="1"/>
    <xf numFmtId="0" fontId="0" fillId="4" borderId="0" xfId="0" applyFill="1"/>
    <xf numFmtId="0" fontId="10" fillId="0" borderId="10" xfId="0" applyFont="1" applyFill="1" applyBorder="1" applyAlignment="1" applyProtection="1">
      <alignment horizontal="left"/>
      <protection locked="0"/>
    </xf>
    <xf numFmtId="49" fontId="10" fillId="4" borderId="0" xfId="0" applyNumberFormat="1" applyFont="1" applyFill="1" applyBorder="1" applyAlignment="1" applyProtection="1">
      <alignment horizontal="left"/>
      <protection locked="0"/>
    </xf>
    <xf numFmtId="49" fontId="10" fillId="0" borderId="10" xfId="0" applyNumberFormat="1" applyFont="1" applyFill="1" applyBorder="1" applyAlignment="1" applyProtection="1">
      <alignment horizontal="left"/>
      <protection locked="0"/>
    </xf>
    <xf numFmtId="0" fontId="1" fillId="0" borderId="2" xfId="0" applyFont="1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2" fillId="0" borderId="0" xfId="0" applyFont="1" applyFill="1" applyAlignment="1">
      <alignment horizontal="left"/>
    </xf>
    <xf numFmtId="0" fontId="8" fillId="0" borderId="2" xfId="0" applyFont="1" applyBorder="1" applyAlignment="1">
      <alignment horizontal="left"/>
    </xf>
    <xf numFmtId="0" fontId="10" fillId="0" borderId="4" xfId="0" applyFont="1" applyBorder="1" applyAlignment="1">
      <alignment horizontal="left"/>
    </xf>
    <xf numFmtId="0" fontId="8" fillId="0" borderId="6" xfId="0" applyFont="1" applyBorder="1" applyAlignment="1">
      <alignment horizontal="left"/>
    </xf>
    <xf numFmtId="0" fontId="10" fillId="0" borderId="7" xfId="0" applyFont="1" applyBorder="1" applyAlignment="1">
      <alignment horizontal="left"/>
    </xf>
    <xf numFmtId="0" fontId="10" fillId="0" borderId="8" xfId="0" applyFont="1" applyBorder="1" applyAlignment="1">
      <alignment horizontal="left"/>
    </xf>
    <xf numFmtId="0" fontId="10" fillId="4" borderId="0" xfId="0" applyFont="1" applyFill="1" applyBorder="1" applyAlignment="1" applyProtection="1">
      <alignment horizontal="left"/>
      <protection locked="0"/>
    </xf>
    <xf numFmtId="0" fontId="7" fillId="0" borderId="0" xfId="1" applyFont="1" applyFill="1"/>
    <xf numFmtId="0" fontId="9" fillId="0" borderId="1" xfId="0" applyFont="1" applyBorder="1" applyAlignment="1" applyProtection="1">
      <alignment horizontal="left"/>
    </xf>
    <xf numFmtId="0" fontId="13" fillId="0" borderId="0" xfId="0" applyFont="1" applyFill="1" applyBorder="1" applyAlignment="1" applyProtection="1">
      <alignment horizontal="left"/>
    </xf>
    <xf numFmtId="0" fontId="8" fillId="0" borderId="1" xfId="0" applyFont="1" applyBorder="1" applyAlignment="1">
      <alignment horizontal="left"/>
    </xf>
    <xf numFmtId="0" fontId="10" fillId="4" borderId="0" xfId="0" applyFont="1" applyFill="1" applyBorder="1" applyAlignment="1">
      <alignment horizontal="left"/>
    </xf>
    <xf numFmtId="0" fontId="13" fillId="0" borderId="1" xfId="0" applyFont="1" applyBorder="1" applyAlignment="1" applyProtection="1">
      <alignment horizontal="left" wrapText="1"/>
    </xf>
    <xf numFmtId="0" fontId="13" fillId="0" borderId="5" xfId="0" applyFont="1" applyBorder="1" applyAlignment="1" applyProtection="1">
      <alignment horizontal="left"/>
    </xf>
    <xf numFmtId="0" fontId="0" fillId="0" borderId="0" xfId="0" applyAlignment="1">
      <alignment wrapText="1"/>
    </xf>
    <xf numFmtId="0" fontId="5" fillId="6" borderId="0" xfId="0" applyFont="1" applyFill="1" applyAlignment="1">
      <alignment wrapText="1"/>
    </xf>
    <xf numFmtId="0" fontId="0" fillId="4" borderId="1" xfId="0" applyFill="1" applyBorder="1" applyAlignment="1" applyProtection="1">
      <alignment horizontal="left"/>
      <protection locked="0"/>
    </xf>
    <xf numFmtId="0" fontId="0" fillId="4" borderId="0" xfId="0" applyFill="1" applyBorder="1" applyAlignment="1" applyProtection="1">
      <alignment horizontal="left"/>
      <protection locked="0"/>
    </xf>
    <xf numFmtId="0" fontId="0" fillId="4" borderId="5" xfId="0" applyFill="1" applyBorder="1" applyAlignment="1" applyProtection="1">
      <alignment horizontal="left"/>
      <protection locked="0"/>
    </xf>
    <xf numFmtId="0" fontId="0" fillId="4" borderId="1" xfId="0" applyFill="1" applyBorder="1" applyAlignment="1" applyProtection="1">
      <alignment horizontal="left"/>
      <protection locked="0"/>
    </xf>
    <xf numFmtId="0" fontId="0" fillId="4" borderId="0" xfId="0" applyFill="1" applyBorder="1" applyAlignment="1" applyProtection="1">
      <alignment horizontal="left"/>
      <protection locked="0"/>
    </xf>
    <xf numFmtId="0" fontId="0" fillId="4" borderId="5" xfId="0" applyFill="1" applyBorder="1" applyAlignment="1" applyProtection="1">
      <alignment horizontal="left"/>
      <protection locked="0"/>
    </xf>
    <xf numFmtId="0" fontId="14" fillId="0" borderId="11" xfId="0" applyFont="1" applyFill="1" applyBorder="1" applyAlignment="1" applyProtection="1">
      <alignment horizontal="left"/>
    </xf>
    <xf numFmtId="2" fontId="10" fillId="4" borderId="0" xfId="0" applyNumberFormat="1" applyFont="1" applyFill="1" applyBorder="1" applyAlignment="1" applyProtection="1">
      <alignment horizontal="left"/>
      <protection locked="0"/>
    </xf>
    <xf numFmtId="0" fontId="17" fillId="0" borderId="0" xfId="0" applyFont="1"/>
    <xf numFmtId="0" fontId="5" fillId="0" borderId="0" xfId="0" applyFont="1" applyAlignment="1">
      <alignment horizontal="left"/>
    </xf>
    <xf numFmtId="14" fontId="12" fillId="4" borderId="0" xfId="0" applyNumberFormat="1" applyFont="1" applyFill="1" applyBorder="1" applyAlignment="1">
      <alignment horizontal="center"/>
    </xf>
    <xf numFmtId="0" fontId="12" fillId="0" borderId="5" xfId="0" applyFont="1" applyBorder="1" applyAlignment="1">
      <alignment horizontal="center"/>
    </xf>
    <xf numFmtId="0" fontId="1" fillId="0" borderId="6" xfId="0" applyFont="1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10" fillId="0" borderId="1" xfId="0" applyFont="1" applyFill="1" applyBorder="1" applyAlignment="1">
      <alignment horizontal="left"/>
    </xf>
    <xf numFmtId="0" fontId="13" fillId="0" borderId="5" xfId="0" applyFont="1" applyBorder="1" applyAlignment="1" applyProtection="1">
      <alignment horizontal="left" vertical="center" wrapText="1"/>
    </xf>
    <xf numFmtId="0" fontId="13" fillId="0" borderId="1" xfId="0" applyFont="1" applyFill="1" applyBorder="1" applyAlignment="1" applyProtection="1">
      <alignment horizontal="left" vertical="center" wrapText="1"/>
    </xf>
    <xf numFmtId="0" fontId="18" fillId="0" borderId="0" xfId="0" applyFont="1" applyBorder="1" applyAlignment="1">
      <alignment horizontal="left"/>
    </xf>
    <xf numFmtId="0" fontId="13" fillId="7" borderId="0" xfId="0" applyFont="1" applyFill="1" applyBorder="1" applyAlignment="1" applyProtection="1">
      <alignment horizontal="left" wrapText="1"/>
      <protection locked="0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4" borderId="9" xfId="0" applyFill="1" applyBorder="1" applyAlignment="1" applyProtection="1">
      <alignment horizontal="left"/>
      <protection locked="0"/>
    </xf>
    <xf numFmtId="0" fontId="0" fillId="4" borderId="10" xfId="0" applyFill="1" applyBorder="1" applyAlignment="1" applyProtection="1">
      <alignment horizontal="left"/>
      <protection locked="0"/>
    </xf>
    <xf numFmtId="0" fontId="0" fillId="4" borderId="11" xfId="0" applyFill="1" applyBorder="1" applyAlignment="1" applyProtection="1">
      <alignment horizontal="left"/>
      <protection locked="0"/>
    </xf>
    <xf numFmtId="0" fontId="8" fillId="0" borderId="6" xfId="0" applyFont="1" applyBorder="1" applyAlignment="1">
      <alignment horizontal="left"/>
    </xf>
    <xf numFmtId="0" fontId="10" fillId="0" borderId="7" xfId="0" applyFont="1" applyBorder="1" applyAlignment="1">
      <alignment horizontal="left"/>
    </xf>
    <xf numFmtId="0" fontId="10" fillId="0" borderId="8" xfId="0" applyFont="1" applyBorder="1" applyAlignment="1">
      <alignment horizontal="left"/>
    </xf>
    <xf numFmtId="0" fontId="8" fillId="0" borderId="12" xfId="0" applyFont="1" applyBorder="1" applyAlignment="1">
      <alignment horizontal="left"/>
    </xf>
    <xf numFmtId="0" fontId="10" fillId="0" borderId="12" xfId="0" applyFont="1" applyBorder="1" applyAlignment="1">
      <alignment horizontal="left"/>
    </xf>
    <xf numFmtId="0" fontId="12" fillId="5" borderId="2" xfId="0" applyFont="1" applyFill="1" applyBorder="1" applyAlignment="1">
      <alignment horizontal="center"/>
    </xf>
    <xf numFmtId="0" fontId="10" fillId="5" borderId="3" xfId="0" applyFont="1" applyFill="1" applyBorder="1" applyAlignment="1">
      <alignment horizontal="center"/>
    </xf>
    <xf numFmtId="0" fontId="10" fillId="5" borderId="4" xfId="0" applyFont="1" applyFill="1" applyBorder="1" applyAlignment="1">
      <alignment horizontal="center"/>
    </xf>
    <xf numFmtId="0" fontId="8" fillId="0" borderId="2" xfId="0" applyFont="1" applyBorder="1" applyAlignment="1">
      <alignment horizontal="left"/>
    </xf>
    <xf numFmtId="0" fontId="8" fillId="0" borderId="3" xfId="0" applyFont="1" applyBorder="1" applyAlignment="1">
      <alignment horizontal="left"/>
    </xf>
    <xf numFmtId="0" fontId="8" fillId="0" borderId="4" xfId="0" applyFont="1" applyBorder="1" applyAlignment="1">
      <alignment horizontal="left"/>
    </xf>
    <xf numFmtId="0" fontId="0" fillId="4" borderId="1" xfId="0" applyFill="1" applyBorder="1" applyAlignment="1" applyProtection="1">
      <alignment horizontal="left"/>
      <protection locked="0"/>
    </xf>
    <xf numFmtId="0" fontId="0" fillId="4" borderId="0" xfId="0" applyFill="1" applyBorder="1" applyAlignment="1" applyProtection="1">
      <alignment horizontal="left"/>
      <protection locked="0"/>
    </xf>
    <xf numFmtId="0" fontId="0" fillId="4" borderId="5" xfId="0" applyFill="1" applyBorder="1" applyAlignment="1" applyProtection="1">
      <alignment horizontal="left"/>
      <protection locked="0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142875</xdr:rowOff>
        </xdr:from>
        <xdr:to>
          <xdr:col>3</xdr:col>
          <xdr:colOff>600075</xdr:colOff>
          <xdr:row>3</xdr:row>
          <xdr:rowOff>152400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DK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Dansk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3</xdr:col>
          <xdr:colOff>600075</xdr:colOff>
          <xdr:row>7</xdr:row>
          <xdr:rowOff>9525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1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DK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Engelsk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0</xdr:row>
          <xdr:rowOff>0</xdr:rowOff>
        </xdr:from>
        <xdr:to>
          <xdr:col>3</xdr:col>
          <xdr:colOff>847725</xdr:colOff>
          <xdr:row>60</xdr:row>
          <xdr:rowOff>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2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200" b="1" i="0" u="none" strike="noStrike" baseline="0">
                  <a:solidFill>
                    <a:srgbClr val="3366FF"/>
                  </a:solidFill>
                  <a:latin typeface="Calibri"/>
                  <a:cs typeface="Calibri"/>
                </a:rPr>
                <a:t>Klik</a:t>
              </a:r>
            </a:p>
            <a:p>
              <a:pPr algn="ctr" rtl="0">
                <a:defRPr sz="1000"/>
              </a:pPr>
              <a:endParaRPr lang="en-DK" sz="1200" b="1" i="0" u="none" strike="noStrike" baseline="0">
                <a:solidFill>
                  <a:srgbClr val="3366FF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DK" sz="1200" b="1" i="0" u="none" strike="noStrike" baseline="0">
                  <a:solidFill>
                    <a:srgbClr val="3366FF"/>
                  </a:solidFill>
                  <a:latin typeface="Calibri"/>
                  <a:cs typeface="Calibri"/>
                </a:rPr>
                <a:t>her</a:t>
              </a:r>
            </a:p>
            <a:p>
              <a:pPr algn="ctr" rtl="0">
                <a:defRPr sz="1000"/>
              </a:pPr>
              <a:endParaRPr lang="en-DK" sz="1200" b="1" i="0" u="none" strike="noStrike" baseline="0">
                <a:solidFill>
                  <a:srgbClr val="3366FF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DK" sz="1200" b="1" i="0" u="none" strike="noStrike" baseline="0">
                  <a:solidFill>
                    <a:srgbClr val="3366FF"/>
                  </a:solidFill>
                  <a:latin typeface="Calibri"/>
                  <a:cs typeface="Calibri"/>
                </a:rPr>
                <a:t>hvis</a:t>
              </a:r>
            </a:p>
            <a:p>
              <a:pPr algn="ctr" rtl="0">
                <a:defRPr sz="1000"/>
              </a:pPr>
              <a:endParaRPr lang="en-DK" sz="1200" b="1" i="0" u="none" strike="noStrike" baseline="0">
                <a:solidFill>
                  <a:srgbClr val="3366FF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DK" sz="1200" b="1" i="0" u="none" strike="noStrike" baseline="0">
                  <a:solidFill>
                    <a:srgbClr val="3366FF"/>
                  </a:solidFill>
                  <a:latin typeface="Calibri"/>
                  <a:cs typeface="Calibri"/>
                </a:rPr>
                <a:t>du</a:t>
              </a:r>
            </a:p>
            <a:p>
              <a:pPr algn="ctr" rtl="0">
                <a:defRPr sz="1000"/>
              </a:pPr>
              <a:endParaRPr lang="en-DK" sz="1200" b="1" i="0" u="none" strike="noStrike" baseline="0">
                <a:solidFill>
                  <a:srgbClr val="3366FF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DK" sz="1200" b="1" i="0" u="none" strike="noStrike" baseline="0">
                  <a:solidFill>
                    <a:srgbClr val="3366FF"/>
                  </a:solidFill>
                  <a:latin typeface="Calibri"/>
                  <a:cs typeface="Calibri"/>
                </a:rPr>
                <a:t>har</a:t>
              </a:r>
            </a:p>
            <a:p>
              <a:pPr algn="ctr" rtl="0">
                <a:defRPr sz="1000"/>
              </a:pPr>
              <a:endParaRPr lang="en-DK" sz="1200" b="1" i="0" u="none" strike="noStrike" baseline="0">
                <a:solidFill>
                  <a:srgbClr val="3366FF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DK" sz="1200" b="1" i="0" u="none" strike="noStrike" baseline="0">
                  <a:solidFill>
                    <a:srgbClr val="3366FF"/>
                  </a:solidFill>
                  <a:latin typeface="Calibri"/>
                  <a:cs typeface="Calibri"/>
                </a:rPr>
                <a:t>ændringer</a:t>
              </a:r>
            </a:p>
            <a:p>
              <a:pPr algn="ctr" rtl="0">
                <a:defRPr sz="1000"/>
              </a:pPr>
              <a:endParaRPr lang="en-DK" sz="1200" b="1" i="0" u="none" strike="noStrike" baseline="0">
                <a:solidFill>
                  <a:srgbClr val="3366FF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DK" sz="1200" b="1" i="0" u="none" strike="noStrike" baseline="0">
                  <a:solidFill>
                    <a:srgbClr val="3366FF"/>
                  </a:solidFill>
                  <a:latin typeface="Calibri"/>
                  <a:cs typeface="Calibri"/>
                </a:rPr>
                <a:t>til</a:t>
              </a:r>
            </a:p>
            <a:p>
              <a:pPr algn="ctr" rtl="0">
                <a:defRPr sz="1000"/>
              </a:pPr>
              <a:endParaRPr lang="en-DK" sz="1200" b="1" i="0" u="none" strike="noStrike" baseline="0">
                <a:solidFill>
                  <a:srgbClr val="3366FF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DK" sz="1200" b="1" i="0" u="none" strike="noStrike" baseline="0">
                  <a:solidFill>
                    <a:srgbClr val="3366FF"/>
                  </a:solidFill>
                  <a:latin typeface="Calibri"/>
                  <a:cs typeface="Calibri"/>
                </a:rPr>
                <a:t>andre</a:t>
              </a:r>
            </a:p>
            <a:p>
              <a:pPr algn="ctr" rtl="0">
                <a:defRPr sz="1000"/>
              </a:pPr>
              <a:endParaRPr lang="en-DK" sz="1200" b="1" i="0" u="none" strike="noStrike" baseline="0">
                <a:solidFill>
                  <a:srgbClr val="3366FF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DK" sz="1200" b="1" i="0" u="none" strike="noStrike" baseline="0">
                  <a:solidFill>
                    <a:srgbClr val="3366FF"/>
                  </a:solidFill>
                  <a:latin typeface="Calibri"/>
                  <a:cs typeface="Calibri"/>
                </a:rPr>
                <a:t>medar-bejdere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0</xdr:row>
          <xdr:rowOff>0</xdr:rowOff>
        </xdr:from>
        <xdr:to>
          <xdr:col>3</xdr:col>
          <xdr:colOff>847725</xdr:colOff>
          <xdr:row>40</xdr:row>
          <xdr:rowOff>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3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200" b="1" i="0" u="none" strike="noStrike" baseline="0">
                  <a:solidFill>
                    <a:srgbClr val="3366FF"/>
                  </a:solidFill>
                  <a:latin typeface="Calibri"/>
                  <a:cs typeface="Calibri"/>
                </a:rPr>
                <a:t>Klik</a:t>
              </a:r>
            </a:p>
            <a:p>
              <a:pPr algn="ctr" rtl="0">
                <a:defRPr sz="1000"/>
              </a:pPr>
              <a:endParaRPr lang="en-DK" sz="1200" b="1" i="0" u="none" strike="noStrike" baseline="0">
                <a:solidFill>
                  <a:srgbClr val="3366FF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DK" sz="1200" b="1" i="0" u="none" strike="noStrike" baseline="0">
                  <a:solidFill>
                    <a:srgbClr val="3366FF"/>
                  </a:solidFill>
                  <a:latin typeface="Calibri"/>
                  <a:cs typeface="Calibri"/>
                </a:rPr>
                <a:t>her</a:t>
              </a:r>
            </a:p>
            <a:p>
              <a:pPr algn="ctr" rtl="0">
                <a:defRPr sz="1000"/>
              </a:pPr>
              <a:endParaRPr lang="en-DK" sz="1200" b="1" i="0" u="none" strike="noStrike" baseline="0">
                <a:solidFill>
                  <a:srgbClr val="3366FF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DK" sz="1200" b="1" i="0" u="none" strike="noStrike" baseline="0">
                  <a:solidFill>
                    <a:srgbClr val="3366FF"/>
                  </a:solidFill>
                  <a:latin typeface="Calibri"/>
                  <a:cs typeface="Calibri"/>
                </a:rPr>
                <a:t>hvis</a:t>
              </a:r>
            </a:p>
            <a:p>
              <a:pPr algn="ctr" rtl="0">
                <a:defRPr sz="1000"/>
              </a:pPr>
              <a:endParaRPr lang="en-DK" sz="1200" b="1" i="0" u="none" strike="noStrike" baseline="0">
                <a:solidFill>
                  <a:srgbClr val="3366FF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DK" sz="1200" b="1" i="0" u="none" strike="noStrike" baseline="0">
                  <a:solidFill>
                    <a:srgbClr val="3366FF"/>
                  </a:solidFill>
                  <a:latin typeface="Calibri"/>
                  <a:cs typeface="Calibri"/>
                </a:rPr>
                <a:t>du</a:t>
              </a:r>
            </a:p>
            <a:p>
              <a:pPr algn="ctr" rtl="0">
                <a:defRPr sz="1000"/>
              </a:pPr>
              <a:endParaRPr lang="en-DK" sz="1200" b="1" i="0" u="none" strike="noStrike" baseline="0">
                <a:solidFill>
                  <a:srgbClr val="3366FF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DK" sz="1200" b="1" i="0" u="none" strike="noStrike" baseline="0">
                  <a:solidFill>
                    <a:srgbClr val="3366FF"/>
                  </a:solidFill>
                  <a:latin typeface="Calibri"/>
                  <a:cs typeface="Calibri"/>
                </a:rPr>
                <a:t>har</a:t>
              </a:r>
            </a:p>
            <a:p>
              <a:pPr algn="ctr" rtl="0">
                <a:defRPr sz="1000"/>
              </a:pPr>
              <a:endParaRPr lang="en-DK" sz="1200" b="1" i="0" u="none" strike="noStrike" baseline="0">
                <a:solidFill>
                  <a:srgbClr val="3366FF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DK" sz="1200" b="1" i="0" u="none" strike="noStrike" baseline="0">
                  <a:solidFill>
                    <a:srgbClr val="3366FF"/>
                  </a:solidFill>
                  <a:latin typeface="Calibri"/>
                  <a:cs typeface="Calibri"/>
                </a:rPr>
                <a:t>ændringer</a:t>
              </a:r>
            </a:p>
            <a:p>
              <a:pPr algn="ctr" rtl="0">
                <a:defRPr sz="1000"/>
              </a:pPr>
              <a:endParaRPr lang="en-DK" sz="1200" b="1" i="0" u="none" strike="noStrike" baseline="0">
                <a:solidFill>
                  <a:srgbClr val="3366FF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DK" sz="1200" b="1" i="0" u="none" strike="noStrike" baseline="0">
                  <a:solidFill>
                    <a:srgbClr val="3366FF"/>
                  </a:solidFill>
                  <a:latin typeface="Calibri"/>
                  <a:cs typeface="Calibri"/>
                </a:rPr>
                <a:t>til</a:t>
              </a:r>
            </a:p>
            <a:p>
              <a:pPr algn="ctr" rtl="0">
                <a:defRPr sz="1000"/>
              </a:pPr>
              <a:endParaRPr lang="en-DK" sz="1200" b="1" i="0" u="none" strike="noStrike" baseline="0">
                <a:solidFill>
                  <a:srgbClr val="3366FF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DK" sz="1200" b="1" i="0" u="none" strike="noStrike" baseline="0">
                  <a:solidFill>
                    <a:srgbClr val="3366FF"/>
                  </a:solidFill>
                  <a:latin typeface="Calibri"/>
                  <a:cs typeface="Calibri"/>
                </a:rPr>
                <a:t>andre</a:t>
              </a:r>
            </a:p>
            <a:p>
              <a:pPr algn="ctr" rtl="0">
                <a:defRPr sz="1000"/>
              </a:pPr>
              <a:endParaRPr lang="en-DK" sz="1200" b="1" i="0" u="none" strike="noStrike" baseline="0">
                <a:solidFill>
                  <a:srgbClr val="3366FF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DK" sz="1200" b="1" i="0" u="none" strike="noStrike" baseline="0">
                  <a:solidFill>
                    <a:srgbClr val="3366FF"/>
                  </a:solidFill>
                  <a:latin typeface="Calibri"/>
                  <a:cs typeface="Calibri"/>
                </a:rPr>
                <a:t>medar-bejdere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0</xdr:row>
          <xdr:rowOff>0</xdr:rowOff>
        </xdr:from>
        <xdr:to>
          <xdr:col>3</xdr:col>
          <xdr:colOff>847725</xdr:colOff>
          <xdr:row>54</xdr:row>
          <xdr:rowOff>0</xdr:rowOff>
        </xdr:to>
        <xdr:sp macro="" textlink="">
          <xdr:nvSpPr>
            <xdr:cNvPr id="14343" name="Button 7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3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200" b="1" i="0" u="none" strike="noStrike" baseline="0">
                  <a:solidFill>
                    <a:srgbClr val="3366FF"/>
                  </a:solidFill>
                  <a:latin typeface="Calibri"/>
                  <a:cs typeface="Calibri"/>
                </a:rPr>
                <a:t>Klik</a:t>
              </a:r>
            </a:p>
            <a:p>
              <a:pPr algn="ctr" rtl="0">
                <a:defRPr sz="1000"/>
              </a:pPr>
              <a:endParaRPr lang="en-DK" sz="1200" b="1" i="0" u="none" strike="noStrike" baseline="0">
                <a:solidFill>
                  <a:srgbClr val="3366FF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DK" sz="1200" b="1" i="0" u="none" strike="noStrike" baseline="0">
                  <a:solidFill>
                    <a:srgbClr val="3366FF"/>
                  </a:solidFill>
                  <a:latin typeface="Calibri"/>
                  <a:cs typeface="Calibri"/>
                </a:rPr>
                <a:t>her</a:t>
              </a:r>
            </a:p>
            <a:p>
              <a:pPr algn="ctr" rtl="0">
                <a:defRPr sz="1000"/>
              </a:pPr>
              <a:endParaRPr lang="en-DK" sz="1200" b="1" i="0" u="none" strike="noStrike" baseline="0">
                <a:solidFill>
                  <a:srgbClr val="3366FF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DK" sz="1200" b="1" i="0" u="none" strike="noStrike" baseline="0">
                  <a:solidFill>
                    <a:srgbClr val="3366FF"/>
                  </a:solidFill>
                  <a:latin typeface="Calibri"/>
                  <a:cs typeface="Calibri"/>
                </a:rPr>
                <a:t>hvis</a:t>
              </a:r>
            </a:p>
            <a:p>
              <a:pPr algn="ctr" rtl="0">
                <a:defRPr sz="1000"/>
              </a:pPr>
              <a:endParaRPr lang="en-DK" sz="1200" b="1" i="0" u="none" strike="noStrike" baseline="0">
                <a:solidFill>
                  <a:srgbClr val="3366FF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DK" sz="1200" b="1" i="0" u="none" strike="noStrike" baseline="0">
                  <a:solidFill>
                    <a:srgbClr val="3366FF"/>
                  </a:solidFill>
                  <a:latin typeface="Calibri"/>
                  <a:cs typeface="Calibri"/>
                </a:rPr>
                <a:t>du</a:t>
              </a:r>
            </a:p>
            <a:p>
              <a:pPr algn="ctr" rtl="0">
                <a:defRPr sz="1000"/>
              </a:pPr>
              <a:endParaRPr lang="en-DK" sz="1200" b="1" i="0" u="none" strike="noStrike" baseline="0">
                <a:solidFill>
                  <a:srgbClr val="3366FF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DK" sz="1200" b="1" i="0" u="none" strike="noStrike" baseline="0">
                  <a:solidFill>
                    <a:srgbClr val="3366FF"/>
                  </a:solidFill>
                  <a:latin typeface="Calibri"/>
                  <a:cs typeface="Calibri"/>
                </a:rPr>
                <a:t>har</a:t>
              </a:r>
            </a:p>
            <a:p>
              <a:pPr algn="ctr" rtl="0">
                <a:defRPr sz="1000"/>
              </a:pPr>
              <a:endParaRPr lang="en-DK" sz="1200" b="1" i="0" u="none" strike="noStrike" baseline="0">
                <a:solidFill>
                  <a:srgbClr val="3366FF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DK" sz="1200" b="1" i="0" u="none" strike="noStrike" baseline="0">
                  <a:solidFill>
                    <a:srgbClr val="3366FF"/>
                  </a:solidFill>
                  <a:latin typeface="Calibri"/>
                  <a:cs typeface="Calibri"/>
                </a:rPr>
                <a:t>ændringer</a:t>
              </a:r>
            </a:p>
            <a:p>
              <a:pPr algn="ctr" rtl="0">
                <a:defRPr sz="1000"/>
              </a:pPr>
              <a:endParaRPr lang="en-DK" sz="1200" b="1" i="0" u="none" strike="noStrike" baseline="0">
                <a:solidFill>
                  <a:srgbClr val="3366FF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DK" sz="1200" b="1" i="0" u="none" strike="noStrike" baseline="0">
                  <a:solidFill>
                    <a:srgbClr val="3366FF"/>
                  </a:solidFill>
                  <a:latin typeface="Calibri"/>
                  <a:cs typeface="Calibri"/>
                </a:rPr>
                <a:t>til</a:t>
              </a:r>
            </a:p>
            <a:p>
              <a:pPr algn="ctr" rtl="0">
                <a:defRPr sz="1000"/>
              </a:pPr>
              <a:endParaRPr lang="en-DK" sz="1200" b="1" i="0" u="none" strike="noStrike" baseline="0">
                <a:solidFill>
                  <a:srgbClr val="3366FF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DK" sz="1200" b="1" i="0" u="none" strike="noStrike" baseline="0">
                  <a:solidFill>
                    <a:srgbClr val="3366FF"/>
                  </a:solidFill>
                  <a:latin typeface="Calibri"/>
                  <a:cs typeface="Calibri"/>
                </a:rPr>
                <a:t>andre</a:t>
              </a:r>
            </a:p>
            <a:p>
              <a:pPr algn="ctr" rtl="0">
                <a:defRPr sz="1000"/>
              </a:pPr>
              <a:endParaRPr lang="en-DK" sz="1200" b="1" i="0" u="none" strike="noStrike" baseline="0">
                <a:solidFill>
                  <a:srgbClr val="3366FF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DK" sz="1200" b="1" i="0" u="none" strike="noStrike" baseline="0">
                  <a:solidFill>
                    <a:srgbClr val="3366FF"/>
                  </a:solidFill>
                  <a:latin typeface="Calibri"/>
                  <a:cs typeface="Calibri"/>
                </a:rPr>
                <a:t>medar-bejdere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2"/>
  <dimension ref="A1:Z562"/>
  <sheetViews>
    <sheetView topLeftCell="U1" workbookViewId="0">
      <selection activeCell="Y4" sqref="Y4"/>
    </sheetView>
  </sheetViews>
  <sheetFormatPr defaultRowHeight="12.75" x14ac:dyDescent="0.2"/>
  <cols>
    <col min="3" max="3" width="16.7109375" style="14" bestFit="1" customWidth="1"/>
    <col min="4" max="4" width="15.7109375" style="14" bestFit="1" customWidth="1"/>
    <col min="5" max="5" width="32.42578125" style="14" bestFit="1" customWidth="1"/>
    <col min="6" max="6" width="27.7109375" style="14" bestFit="1" customWidth="1"/>
    <col min="7" max="7" width="29.28515625" style="14" bestFit="1" customWidth="1"/>
    <col min="8" max="8" width="30.7109375" style="14" bestFit="1" customWidth="1"/>
    <col min="9" max="9" width="30.7109375" style="14" customWidth="1"/>
    <col min="10" max="10" width="27.140625" style="14" bestFit="1" customWidth="1"/>
    <col min="11" max="11" width="32.85546875" style="14" bestFit="1" customWidth="1"/>
    <col min="12" max="12" width="11" style="7" bestFit="1" customWidth="1"/>
    <col min="13" max="13" width="96.140625" style="7" bestFit="1" customWidth="1"/>
    <col min="14" max="14" width="91.28515625" style="14" bestFit="1" customWidth="1"/>
    <col min="15" max="15" width="11.7109375" bestFit="1" customWidth="1"/>
    <col min="16" max="16" width="16.140625" bestFit="1" customWidth="1"/>
    <col min="17" max="17" width="12.42578125" bestFit="1" customWidth="1"/>
    <col min="18" max="18" width="28" bestFit="1" customWidth="1"/>
    <col min="19" max="19" width="61.85546875" bestFit="1" customWidth="1"/>
    <col min="20" max="20" width="12.140625" bestFit="1" customWidth="1"/>
    <col min="21" max="21" width="43.42578125" bestFit="1" customWidth="1"/>
    <col min="22" max="22" width="51.42578125" bestFit="1" customWidth="1"/>
    <col min="23" max="23" width="29.85546875" bestFit="1" customWidth="1"/>
    <col min="25" max="25" width="57" bestFit="1" customWidth="1"/>
    <col min="26" max="26" width="20.7109375" customWidth="1"/>
  </cols>
  <sheetData>
    <row r="1" spans="1:26" ht="15" x14ac:dyDescent="0.25">
      <c r="A1" t="s">
        <v>669</v>
      </c>
      <c r="B1" t="s">
        <v>670</v>
      </c>
      <c r="C1" s="10" t="s">
        <v>25</v>
      </c>
      <c r="D1" s="11" t="s">
        <v>0</v>
      </c>
      <c r="E1" s="11" t="s">
        <v>43</v>
      </c>
      <c r="F1" s="12" t="s">
        <v>1</v>
      </c>
      <c r="G1" s="12" t="s">
        <v>47</v>
      </c>
      <c r="H1" s="13" t="s">
        <v>2</v>
      </c>
      <c r="I1" s="13" t="s">
        <v>2</v>
      </c>
      <c r="J1" s="13" t="s">
        <v>3</v>
      </c>
      <c r="K1" s="13" t="s">
        <v>624</v>
      </c>
      <c r="L1" s="16" t="s">
        <v>60</v>
      </c>
      <c r="M1" s="16" t="s">
        <v>61</v>
      </c>
      <c r="N1" s="17" t="s">
        <v>623</v>
      </c>
      <c r="O1" s="41" t="s">
        <v>627</v>
      </c>
      <c r="P1" s="41" t="s">
        <v>628</v>
      </c>
      <c r="Q1" s="41" t="s">
        <v>629</v>
      </c>
      <c r="R1" s="41" t="s">
        <v>24</v>
      </c>
      <c r="S1" s="41" t="s">
        <v>652</v>
      </c>
      <c r="T1" s="44" t="s">
        <v>653</v>
      </c>
      <c r="U1" s="44" t="s">
        <v>654</v>
      </c>
      <c r="V1" s="45"/>
      <c r="W1" s="67" t="s">
        <v>680</v>
      </c>
      <c r="X1" s="66"/>
    </row>
    <row r="2" spans="1:26" ht="30" x14ac:dyDescent="0.25">
      <c r="A2" t="s">
        <v>8</v>
      </c>
      <c r="B2" t="s">
        <v>671</v>
      </c>
      <c r="C2" s="14" t="s">
        <v>706</v>
      </c>
      <c r="D2" s="15" t="s">
        <v>4</v>
      </c>
      <c r="E2" s="15" t="s">
        <v>44</v>
      </c>
      <c r="F2" s="15" t="s">
        <v>5</v>
      </c>
      <c r="G2" s="15" t="s">
        <v>48</v>
      </c>
      <c r="H2" s="15" t="s">
        <v>6</v>
      </c>
      <c r="I2" s="15" t="s">
        <v>51</v>
      </c>
      <c r="J2" s="15" t="s">
        <v>7</v>
      </c>
      <c r="K2" s="15" t="s">
        <v>55</v>
      </c>
      <c r="L2" s="8">
        <v>11000</v>
      </c>
      <c r="M2" s="8" t="s">
        <v>62</v>
      </c>
      <c r="N2" s="14" t="str">
        <f>L2&amp;" "&amp;M2</f>
        <v>11000 Militært arbejde på officersniveau (011000)</v>
      </c>
      <c r="O2" s="42">
        <v>110</v>
      </c>
      <c r="P2" s="43" t="s">
        <v>630</v>
      </c>
      <c r="Q2" s="42">
        <v>2750</v>
      </c>
      <c r="R2" s="42" t="s">
        <v>631</v>
      </c>
      <c r="S2" t="str">
        <f>CONCATENATE(O2," - ",P2,", Postnr ",Q2," - P-nr ",R2)</f>
        <v>110 - Lautrupvang 6
, Postnr 2750 - P-nr 1002949033 Atea A/S</v>
      </c>
      <c r="T2" s="8"/>
      <c r="U2" s="8" t="s">
        <v>673</v>
      </c>
      <c r="V2" t="str">
        <f>CONCATENATE(T2," ",U2)</f>
        <v xml:space="preserve"> Ingen</v>
      </c>
      <c r="W2" t="s">
        <v>681</v>
      </c>
      <c r="Y2" s="77" t="s">
        <v>697</v>
      </c>
      <c r="Z2" s="7" t="s">
        <v>709</v>
      </c>
    </row>
    <row r="3" spans="1:26" ht="15" customHeight="1" x14ac:dyDescent="0.25">
      <c r="A3" t="s">
        <v>13</v>
      </c>
      <c r="B3" t="s">
        <v>672</v>
      </c>
      <c r="C3" s="14" t="s">
        <v>707</v>
      </c>
      <c r="D3" s="15" t="s">
        <v>9</v>
      </c>
      <c r="E3" s="15" t="s">
        <v>45</v>
      </c>
      <c r="F3" s="15" t="s">
        <v>10</v>
      </c>
      <c r="G3" s="15" t="s">
        <v>49</v>
      </c>
      <c r="H3" s="15" t="s">
        <v>11</v>
      </c>
      <c r="I3" s="15" t="s">
        <v>52</v>
      </c>
      <c r="J3" s="15" t="s">
        <v>12</v>
      </c>
      <c r="K3" s="15" t="s">
        <v>56</v>
      </c>
      <c r="L3" s="8">
        <v>21000</v>
      </c>
      <c r="M3" s="8" t="s">
        <v>63</v>
      </c>
      <c r="N3" s="14" t="str">
        <f t="shared" ref="N3:N66" si="0">L3&amp;" "&amp;M3</f>
        <v>21000 Militært arbejde på befalingsmandsniveau (underofficersarbejde) 021000</v>
      </c>
      <c r="O3" s="42">
        <v>120</v>
      </c>
      <c r="P3" s="43" t="s">
        <v>632</v>
      </c>
      <c r="Q3" s="42">
        <v>6700</v>
      </c>
      <c r="R3" s="42" t="s">
        <v>633</v>
      </c>
      <c r="S3" t="str">
        <f t="shared" ref="S3:S14" si="1">CONCATENATE(O3," - ",P3,", Postnr ",Q3," - P-nr ",R3)</f>
        <v>120 - Toldbodvej 1
, Postnr 6700 - P-nr 1002949045 Atea A/S</v>
      </c>
      <c r="T3" s="8">
        <v>20000</v>
      </c>
      <c r="U3" s="8" t="s">
        <v>655</v>
      </c>
      <c r="V3" t="str">
        <f t="shared" ref="V3:V15" si="2">CONCATENATE(T3," ",U3)</f>
        <v>20000 DANSK ELFO</v>
      </c>
      <c r="W3" t="s">
        <v>682</v>
      </c>
      <c r="Y3" s="7" t="s">
        <v>698</v>
      </c>
      <c r="Z3" s="7" t="s">
        <v>708</v>
      </c>
    </row>
    <row r="4" spans="1:26" ht="15" x14ac:dyDescent="0.25">
      <c r="C4" s="14" t="s">
        <v>708</v>
      </c>
      <c r="D4" s="15" t="s">
        <v>14</v>
      </c>
      <c r="E4" s="15" t="s">
        <v>46</v>
      </c>
      <c r="F4" s="15" t="s">
        <v>15</v>
      </c>
      <c r="G4" s="15" t="s">
        <v>50</v>
      </c>
      <c r="H4" s="15" t="s">
        <v>16</v>
      </c>
      <c r="I4" s="15" t="s">
        <v>53</v>
      </c>
      <c r="J4" s="15" t="s">
        <v>17</v>
      </c>
      <c r="K4" s="15" t="s">
        <v>57</v>
      </c>
      <c r="L4" s="8">
        <v>31000</v>
      </c>
      <c r="M4" s="8" t="s">
        <v>64</v>
      </c>
      <c r="N4" s="14" t="str">
        <f t="shared" si="0"/>
        <v>31000 Militært arbejde, øvrige rangordener (031000)</v>
      </c>
      <c r="O4" s="42">
        <v>130</v>
      </c>
      <c r="P4" s="42" t="s">
        <v>634</v>
      </c>
      <c r="Q4" s="42">
        <v>8200</v>
      </c>
      <c r="R4" s="42" t="s">
        <v>635</v>
      </c>
      <c r="S4" t="str">
        <f t="shared" si="1"/>
        <v>130 - Tangen 4, Postnr 8200 - P-nr 1004993825 Atea A/S</v>
      </c>
      <c r="T4" s="8">
        <v>20001</v>
      </c>
      <c r="U4" s="8" t="s">
        <v>656</v>
      </c>
      <c r="V4" t="str">
        <f t="shared" si="2"/>
        <v>20001 ELFO-ELEV</v>
      </c>
      <c r="W4" t="s">
        <v>683</v>
      </c>
      <c r="Y4" s="7" t="s">
        <v>699</v>
      </c>
    </row>
    <row r="5" spans="1:26" ht="30" x14ac:dyDescent="0.25">
      <c r="D5" s="15"/>
      <c r="E5" s="15"/>
      <c r="F5" s="15"/>
      <c r="G5" s="15"/>
      <c r="H5" s="15" t="s">
        <v>18</v>
      </c>
      <c r="I5" s="15" t="s">
        <v>54</v>
      </c>
      <c r="J5" s="15" t="s">
        <v>19</v>
      </c>
      <c r="K5" s="15" t="s">
        <v>58</v>
      </c>
      <c r="L5" s="8">
        <v>111100</v>
      </c>
      <c r="M5" s="8" t="s">
        <v>65</v>
      </c>
      <c r="N5" s="14" t="str">
        <f t="shared" si="0"/>
        <v>111100 Øverste ledelse i lovgivende myndigheder</v>
      </c>
      <c r="O5" s="42">
        <v>140</v>
      </c>
      <c r="P5" s="43" t="s">
        <v>636</v>
      </c>
      <c r="Q5" s="42">
        <v>2750</v>
      </c>
      <c r="R5" s="42" t="s">
        <v>637</v>
      </c>
      <c r="S5" t="str">
        <f t="shared" si="1"/>
        <v>140 - Telegrafvej 2
, Postnr 2750 - P-nr 1014155003 Atea A/S</v>
      </c>
      <c r="T5" s="8">
        <v>20002</v>
      </c>
      <c r="U5" s="8" t="s">
        <v>657</v>
      </c>
      <c r="V5" t="str">
        <f t="shared" si="2"/>
        <v>20002 ELFO-FLEKS</v>
      </c>
    </row>
    <row r="6" spans="1:26" ht="15" x14ac:dyDescent="0.25">
      <c r="D6" s="15"/>
      <c r="E6" s="15"/>
      <c r="F6" s="15"/>
      <c r="G6" s="15"/>
      <c r="H6" s="15"/>
      <c r="I6" s="15"/>
      <c r="J6" s="15" t="s">
        <v>20</v>
      </c>
      <c r="K6" s="15" t="s">
        <v>59</v>
      </c>
      <c r="L6" s="8">
        <v>111200</v>
      </c>
      <c r="M6" s="8" t="s">
        <v>66</v>
      </c>
      <c r="N6" s="14" t="str">
        <f t="shared" si="0"/>
        <v>111200 Øverste ledelse i offentlige virksomheder</v>
      </c>
      <c r="O6" s="42">
        <v>150</v>
      </c>
      <c r="P6" s="42" t="s">
        <v>638</v>
      </c>
      <c r="Q6" s="42">
        <v>7490</v>
      </c>
      <c r="R6" s="42" t="s">
        <v>639</v>
      </c>
      <c r="S6" t="str">
        <f t="shared" si="1"/>
        <v>150 - Farvervej 20, Postnr 7490 - P-nr 1015764828 Atea A/S</v>
      </c>
      <c r="T6" s="8">
        <v>20003</v>
      </c>
      <c r="U6" s="8" t="s">
        <v>658</v>
      </c>
      <c r="V6" t="str">
        <f t="shared" si="2"/>
        <v>20003 ELFO-TIME</v>
      </c>
    </row>
    <row r="7" spans="1:26" ht="15" x14ac:dyDescent="0.25">
      <c r="L7" s="8">
        <v>111400</v>
      </c>
      <c r="M7" s="8" t="s">
        <v>67</v>
      </c>
      <c r="N7" s="14" t="str">
        <f t="shared" si="0"/>
        <v>111400 Øverste ledelse i interesseorganisationer</v>
      </c>
      <c r="O7" s="42">
        <v>160</v>
      </c>
      <c r="P7" s="42" t="s">
        <v>640</v>
      </c>
      <c r="Q7" s="42">
        <v>6000</v>
      </c>
      <c r="R7" s="42" t="s">
        <v>641</v>
      </c>
      <c r="S7" t="str">
        <f t="shared" si="1"/>
        <v>160 - Birkemosevej 9, Postnr 6000 - P-nr 1016080876 Atea A/S</v>
      </c>
      <c r="T7" s="8">
        <v>20004</v>
      </c>
      <c r="U7" s="8" t="s">
        <v>659</v>
      </c>
      <c r="V7" t="str">
        <f t="shared" si="2"/>
        <v>20004 HANDEL</v>
      </c>
    </row>
    <row r="8" spans="1:26" ht="15" x14ac:dyDescent="0.25">
      <c r="L8" s="8">
        <v>112010</v>
      </c>
      <c r="M8" s="8" t="s">
        <v>68</v>
      </c>
      <c r="N8" s="14" t="str">
        <f t="shared" si="0"/>
        <v>112010 Øverste administrerende virksomhedsledelse</v>
      </c>
      <c r="O8" s="42">
        <v>170</v>
      </c>
      <c r="P8" s="42" t="s">
        <v>642</v>
      </c>
      <c r="Q8" s="42">
        <v>9000</v>
      </c>
      <c r="R8" s="42" t="s">
        <v>643</v>
      </c>
      <c r="S8" t="str">
        <f t="shared" si="1"/>
        <v>170 - Lyngvej 3, Postnr 9000 - P-nr 1016746912 Atea A/S</v>
      </c>
      <c r="T8" s="8">
        <v>20005</v>
      </c>
      <c r="U8" s="8" t="s">
        <v>660</v>
      </c>
      <c r="V8" t="str">
        <f t="shared" si="2"/>
        <v>20005 HK-CSC</v>
      </c>
    </row>
    <row r="9" spans="1:26" ht="15" x14ac:dyDescent="0.25">
      <c r="L9" s="8">
        <v>112020</v>
      </c>
      <c r="M9" s="8" t="s">
        <v>69</v>
      </c>
      <c r="N9" s="14" t="str">
        <f t="shared" si="0"/>
        <v>112020 Virksomhedsledelse af tværgående funktioner</v>
      </c>
      <c r="O9" s="42">
        <v>180</v>
      </c>
      <c r="P9" s="42" t="s">
        <v>644</v>
      </c>
      <c r="Q9" s="42">
        <v>2630</v>
      </c>
      <c r="R9" s="42" t="s">
        <v>645</v>
      </c>
      <c r="S9" t="str">
        <f t="shared" si="1"/>
        <v>180 - Roskildevej 325A, Postnr 2630 - P-nr 1017915270 Atea A/S</v>
      </c>
      <c r="T9" s="8">
        <v>20006</v>
      </c>
      <c r="U9" s="8" t="s">
        <v>661</v>
      </c>
      <c r="V9" t="str">
        <f t="shared" si="2"/>
        <v>20006 KANTINE-DI</v>
      </c>
    </row>
    <row r="10" spans="1:26" ht="15" x14ac:dyDescent="0.25">
      <c r="L10" s="8">
        <v>121100</v>
      </c>
      <c r="M10" s="8" t="s">
        <v>70</v>
      </c>
      <c r="N10" s="14" t="str">
        <f t="shared" si="0"/>
        <v>121100 Ledelse inden for økonomifunktioner</v>
      </c>
      <c r="O10" s="42">
        <v>510</v>
      </c>
      <c r="P10" s="42" t="s">
        <v>634</v>
      </c>
      <c r="Q10" s="42">
        <v>8200</v>
      </c>
      <c r="R10" s="42" t="s">
        <v>646</v>
      </c>
      <c r="S10" t="str">
        <f t="shared" si="1"/>
        <v>510 - Tangen 4, Postnr 8200 - P-nr 1008225393 Atea Danmark A/S</v>
      </c>
      <c r="T10" s="8">
        <v>20007</v>
      </c>
      <c r="U10" s="8" t="s">
        <v>662</v>
      </c>
      <c r="V10" t="str">
        <f t="shared" si="2"/>
        <v>20007 KANTINE-FA</v>
      </c>
    </row>
    <row r="11" spans="1:26" ht="15" x14ac:dyDescent="0.25">
      <c r="L11" s="8">
        <v>121200</v>
      </c>
      <c r="M11" s="8" t="s">
        <v>71</v>
      </c>
      <c r="N11" s="14" t="str">
        <f t="shared" si="0"/>
        <v>121200 Ledelse inden for HR-funktioner</v>
      </c>
      <c r="O11" s="42">
        <v>520</v>
      </c>
      <c r="P11" s="42" t="s">
        <v>647</v>
      </c>
      <c r="Q11" s="42">
        <v>2750</v>
      </c>
      <c r="R11" s="42" t="s">
        <v>648</v>
      </c>
      <c r="S11" t="str">
        <f t="shared" si="1"/>
        <v>520 - Lautrupvang 6, Postnr 2750 - P-nr 1008225407 Atea Danmark A/S</v>
      </c>
      <c r="T11" s="8">
        <v>20008</v>
      </c>
      <c r="U11" s="8" t="s">
        <v>663</v>
      </c>
      <c r="V11" t="str">
        <f t="shared" si="2"/>
        <v>20008 LAGERFULD</v>
      </c>
    </row>
    <row r="12" spans="1:26" ht="15" x14ac:dyDescent="0.25">
      <c r="L12" s="8">
        <v>121310</v>
      </c>
      <c r="M12" s="8" t="s">
        <v>72</v>
      </c>
      <c r="N12" s="14" t="str">
        <f t="shared" si="0"/>
        <v>121310 Ledelse inden virksomhedsstrategi/policy området</v>
      </c>
      <c r="O12" s="42">
        <v>1210</v>
      </c>
      <c r="P12" s="42" t="s">
        <v>647</v>
      </c>
      <c r="Q12" s="42">
        <v>2750</v>
      </c>
      <c r="R12" s="42" t="s">
        <v>649</v>
      </c>
      <c r="S12" t="str">
        <f t="shared" si="1"/>
        <v>1210 - Lautrupvang 6, Postnr 2750 - P-nr 1011818729 Atea Finans A/S</v>
      </c>
      <c r="T12" s="8">
        <v>20009</v>
      </c>
      <c r="U12" s="8" t="s">
        <v>664</v>
      </c>
      <c r="V12" t="str">
        <f t="shared" si="2"/>
        <v>20009 LAGERTIME</v>
      </c>
    </row>
    <row r="13" spans="1:26" ht="15" x14ac:dyDescent="0.25">
      <c r="L13" s="8">
        <v>121320</v>
      </c>
      <c r="M13" s="8" t="s">
        <v>73</v>
      </c>
      <c r="N13" s="14" t="str">
        <f t="shared" si="0"/>
        <v>121320 Administrativ ledelse i den offentlige sektor</v>
      </c>
      <c r="O13" s="42">
        <v>1220</v>
      </c>
      <c r="P13" s="42" t="s">
        <v>642</v>
      </c>
      <c r="Q13" s="42">
        <v>9000</v>
      </c>
      <c r="R13" s="42" t="s">
        <v>650</v>
      </c>
      <c r="S13" t="str">
        <f t="shared" si="1"/>
        <v>1220 - Lyngvej 3, Postnr 9000 - P-nr 1017822442 Atea Finans A/S</v>
      </c>
      <c r="T13" s="8">
        <v>20010</v>
      </c>
      <c r="U13" s="8" t="s">
        <v>665</v>
      </c>
      <c r="V13" t="str">
        <f t="shared" si="2"/>
        <v>20010 METAL</v>
      </c>
    </row>
    <row r="14" spans="1:26" ht="15" x14ac:dyDescent="0.25">
      <c r="L14" s="8">
        <v>121910</v>
      </c>
      <c r="M14" s="8" t="s">
        <v>74</v>
      </c>
      <c r="N14" s="14" t="str">
        <f t="shared" si="0"/>
        <v>121910 Ledelse af rengøringsfunktioner o.l.</v>
      </c>
      <c r="O14" s="42">
        <v>1230</v>
      </c>
      <c r="P14" s="42" t="s">
        <v>634</v>
      </c>
      <c r="Q14" s="42">
        <v>8200</v>
      </c>
      <c r="R14" s="42" t="s">
        <v>651</v>
      </c>
      <c r="S14" t="str">
        <f t="shared" si="1"/>
        <v>1230 - Tangen 4, Postnr 8200 - P-nr 1017990760 Atea Finans A/S</v>
      </c>
      <c r="T14" s="8">
        <v>20011</v>
      </c>
      <c r="U14" s="8" t="s">
        <v>666</v>
      </c>
      <c r="V14" t="str">
        <f t="shared" si="2"/>
        <v>20011 METAL-ELEV</v>
      </c>
    </row>
    <row r="15" spans="1:26" x14ac:dyDescent="0.2">
      <c r="L15" s="8">
        <v>121920</v>
      </c>
      <c r="M15" s="8" t="s">
        <v>75</v>
      </c>
      <c r="N15" s="14" t="str">
        <f t="shared" si="0"/>
        <v>121920 Ledelse af logistikfunktioner</v>
      </c>
      <c r="U15" s="59"/>
      <c r="V15" t="str">
        <f t="shared" si="2"/>
        <v xml:space="preserve"> </v>
      </c>
    </row>
    <row r="16" spans="1:26" x14ac:dyDescent="0.2">
      <c r="L16" s="8">
        <v>121990</v>
      </c>
      <c r="M16" s="8" t="s">
        <v>76</v>
      </c>
      <c r="N16" s="14" t="str">
        <f t="shared" si="0"/>
        <v>121990 Anden ledelse inden for forretningsservice og administrative funktioner i øvrigt</v>
      </c>
    </row>
    <row r="17" spans="12:22" x14ac:dyDescent="0.2">
      <c r="L17" s="8">
        <v>122100</v>
      </c>
      <c r="M17" s="8" t="s">
        <v>77</v>
      </c>
      <c r="N17" s="14" t="str">
        <f t="shared" si="0"/>
        <v>122100 Ledelse af salg og marketing</v>
      </c>
      <c r="V17" t="str">
        <f t="shared" ref="V17:V48" si="3">CONCATENATE(T16," ",U16)</f>
        <v xml:space="preserve"> </v>
      </c>
    </row>
    <row r="18" spans="12:22" x14ac:dyDescent="0.2">
      <c r="L18" s="8">
        <v>122200</v>
      </c>
      <c r="M18" s="8" t="s">
        <v>78</v>
      </c>
      <c r="N18" s="14" t="str">
        <f t="shared" si="0"/>
        <v>122200 Ledelse af reklame og PR</v>
      </c>
      <c r="V18" t="str">
        <f t="shared" si="3"/>
        <v xml:space="preserve"> </v>
      </c>
    </row>
    <row r="19" spans="12:22" x14ac:dyDescent="0.2">
      <c r="L19" s="8">
        <v>122300</v>
      </c>
      <c r="M19" s="8" t="s">
        <v>79</v>
      </c>
      <c r="N19" s="14" t="str">
        <f t="shared" si="0"/>
        <v>122300 Ledelse af kommerciel forskning og udvikling</v>
      </c>
      <c r="V19" t="str">
        <f t="shared" si="3"/>
        <v xml:space="preserve"> </v>
      </c>
    </row>
    <row r="20" spans="12:22" x14ac:dyDescent="0.2">
      <c r="L20" s="8">
        <v>131100</v>
      </c>
      <c r="M20" s="8" t="s">
        <v>80</v>
      </c>
      <c r="N20" s="14" t="str">
        <f t="shared" si="0"/>
        <v>131100 Ledelse af produktion i landbrug og skovbrug</v>
      </c>
      <c r="V20" t="str">
        <f t="shared" si="3"/>
        <v xml:space="preserve"> </v>
      </c>
    </row>
    <row r="21" spans="12:22" x14ac:dyDescent="0.2">
      <c r="L21" s="8">
        <v>131200</v>
      </c>
      <c r="M21" s="8" t="s">
        <v>81</v>
      </c>
      <c r="N21" s="14" t="str">
        <f t="shared" si="0"/>
        <v>131200 Ledelse af produktion inden for akvakultur og fiskeri</v>
      </c>
      <c r="V21" t="str">
        <f t="shared" si="3"/>
        <v xml:space="preserve"> </v>
      </c>
    </row>
    <row r="22" spans="12:22" x14ac:dyDescent="0.2">
      <c r="L22" s="8">
        <v>132100</v>
      </c>
      <c r="M22" s="8" t="s">
        <v>82</v>
      </c>
      <c r="N22" s="14" t="str">
        <f t="shared" si="0"/>
        <v>132100 Ledelse af hovedaktiviteten inden for fremstillingsvirksomhed (undtagen landbrug, skovbrug og fiskeri)</v>
      </c>
      <c r="V22" t="str">
        <f t="shared" si="3"/>
        <v xml:space="preserve"> </v>
      </c>
    </row>
    <row r="23" spans="12:22" x14ac:dyDescent="0.2">
      <c r="L23" s="8">
        <v>132200</v>
      </c>
      <c r="M23" s="8" t="s">
        <v>83</v>
      </c>
      <c r="N23" s="14" t="str">
        <f t="shared" si="0"/>
        <v>132200 Ledelse af hovedaktiviteten inden for råstofudvinding</v>
      </c>
      <c r="V23" t="str">
        <f t="shared" si="3"/>
        <v xml:space="preserve"> </v>
      </c>
    </row>
    <row r="24" spans="12:22" x14ac:dyDescent="0.2">
      <c r="L24" s="8">
        <v>132300</v>
      </c>
      <c r="M24" s="8" t="s">
        <v>84</v>
      </c>
      <c r="N24" s="14" t="str">
        <f t="shared" si="0"/>
        <v>132300 Ledelse af hovedaktiviteten inden for bygge- og anlægsvirksomhed</v>
      </c>
      <c r="V24" t="str">
        <f t="shared" si="3"/>
        <v xml:space="preserve"> </v>
      </c>
    </row>
    <row r="25" spans="12:22" x14ac:dyDescent="0.2">
      <c r="L25" s="8">
        <v>132400</v>
      </c>
      <c r="M25" s="8" t="s">
        <v>85</v>
      </c>
      <c r="N25" s="14" t="str">
        <f t="shared" si="0"/>
        <v>132400 Ledelse af hovedaktiviteten inden for forsyning, distribution o.l.</v>
      </c>
      <c r="V25" t="str">
        <f t="shared" si="3"/>
        <v xml:space="preserve"> </v>
      </c>
    </row>
    <row r="26" spans="12:22" x14ac:dyDescent="0.2">
      <c r="L26" s="8">
        <v>133010</v>
      </c>
      <c r="M26" s="8" t="s">
        <v>86</v>
      </c>
      <c r="N26" s="14" t="str">
        <f t="shared" si="0"/>
        <v>133010 Ledelse af hovedaktiviteten inden for informations- og kommunikationsteknologi (Business to Business)</v>
      </c>
      <c r="V26" t="str">
        <f t="shared" si="3"/>
        <v xml:space="preserve"> </v>
      </c>
    </row>
    <row r="27" spans="12:22" x14ac:dyDescent="0.2">
      <c r="L27" s="8">
        <v>133020</v>
      </c>
      <c r="M27" s="8" t="s">
        <v>87</v>
      </c>
      <c r="N27" s="14" t="str">
        <f t="shared" si="0"/>
        <v>133020 Ledelse af intern IT</v>
      </c>
      <c r="V27" t="str">
        <f t="shared" si="3"/>
        <v xml:space="preserve"> </v>
      </c>
    </row>
    <row r="28" spans="12:22" x14ac:dyDescent="0.2">
      <c r="L28" s="8">
        <v>134100</v>
      </c>
      <c r="M28" s="8" t="s">
        <v>88</v>
      </c>
      <c r="N28" s="14" t="str">
        <f t="shared" si="0"/>
        <v>134100 Ledelse af hovedaktiviteten inden for pædagogisk arbejde med og omsorg for børn</v>
      </c>
      <c r="V28" t="str">
        <f t="shared" si="3"/>
        <v xml:space="preserve"> </v>
      </c>
    </row>
    <row r="29" spans="12:22" x14ac:dyDescent="0.2">
      <c r="L29" s="8">
        <v>134200</v>
      </c>
      <c r="M29" s="8" t="s">
        <v>89</v>
      </c>
      <c r="N29" s="14" t="str">
        <f t="shared" si="0"/>
        <v>134200 Ledelse af hovedaktiviteten inden for sundhedsområdet</v>
      </c>
      <c r="V29" t="str">
        <f t="shared" si="3"/>
        <v xml:space="preserve"> </v>
      </c>
    </row>
    <row r="30" spans="12:22" x14ac:dyDescent="0.2">
      <c r="L30" s="8">
        <v>134300</v>
      </c>
      <c r="M30" s="8" t="s">
        <v>90</v>
      </c>
      <c r="N30" s="14" t="str">
        <f t="shared" si="0"/>
        <v>134300 Ledelse af hovedaktiviteten inden for ældreplejen</v>
      </c>
      <c r="V30" t="str">
        <f t="shared" si="3"/>
        <v xml:space="preserve"> </v>
      </c>
    </row>
    <row r="31" spans="12:22" x14ac:dyDescent="0.2">
      <c r="L31" s="8">
        <v>134400</v>
      </c>
      <c r="M31" s="8" t="s">
        <v>91</v>
      </c>
      <c r="N31" s="14" t="str">
        <f t="shared" si="0"/>
        <v>134400 Ledelse af hovedaktiviteten inden for det sociale område</v>
      </c>
      <c r="V31" t="str">
        <f t="shared" si="3"/>
        <v xml:space="preserve"> </v>
      </c>
    </row>
    <row r="32" spans="12:22" x14ac:dyDescent="0.2">
      <c r="L32" s="8">
        <v>134500</v>
      </c>
      <c r="M32" s="8" t="s">
        <v>92</v>
      </c>
      <c r="N32" s="14" t="str">
        <f t="shared" si="0"/>
        <v>134500 Ledelse af hovedaktiviteten inden for undervisningsområdet</v>
      </c>
      <c r="V32" t="str">
        <f t="shared" si="3"/>
        <v xml:space="preserve"> </v>
      </c>
    </row>
    <row r="33" spans="12:22" x14ac:dyDescent="0.2">
      <c r="L33" s="8">
        <v>134600</v>
      </c>
      <c r="M33" s="8" t="s">
        <v>93</v>
      </c>
      <c r="N33" s="14" t="str">
        <f t="shared" si="0"/>
        <v>134600 Ledelse af hovedaktiviteten inden for finans- og forsikringsområdet</v>
      </c>
      <c r="V33" t="str">
        <f t="shared" si="3"/>
        <v xml:space="preserve"> </v>
      </c>
    </row>
    <row r="34" spans="12:22" x14ac:dyDescent="0.2">
      <c r="L34" s="8">
        <v>134910</v>
      </c>
      <c r="M34" s="8" t="s">
        <v>94</v>
      </c>
      <c r="N34" s="14" t="str">
        <f t="shared" si="0"/>
        <v>134910 Ledelse af hovedaktiviteten inden for politi og retsvæsen</v>
      </c>
      <c r="V34" t="str">
        <f t="shared" si="3"/>
        <v xml:space="preserve"> </v>
      </c>
    </row>
    <row r="35" spans="12:22" x14ac:dyDescent="0.2">
      <c r="L35" s="8">
        <v>134990</v>
      </c>
      <c r="M35" s="8" t="s">
        <v>95</v>
      </c>
      <c r="N35" s="14" t="str">
        <f t="shared" si="0"/>
        <v>134990 Anden ledelse af hovedaktiviteten inden for servicefag i øvrigt</v>
      </c>
      <c r="V35" t="str">
        <f t="shared" si="3"/>
        <v xml:space="preserve"> </v>
      </c>
    </row>
    <row r="36" spans="12:22" x14ac:dyDescent="0.2">
      <c r="L36" s="8">
        <v>141100</v>
      </c>
      <c r="M36" s="8" t="s">
        <v>96</v>
      </c>
      <c r="N36" s="14" t="str">
        <f t="shared" si="0"/>
        <v>141100 Ledelse af hovedaktiviteten af hoteller</v>
      </c>
      <c r="V36" t="str">
        <f t="shared" si="3"/>
        <v xml:space="preserve"> </v>
      </c>
    </row>
    <row r="37" spans="12:22" x14ac:dyDescent="0.2">
      <c r="L37" s="8">
        <v>141200</v>
      </c>
      <c r="M37" s="8" t="s">
        <v>97</v>
      </c>
      <c r="N37" s="14" t="str">
        <f t="shared" si="0"/>
        <v>141200 Ledelse af hovedaktiviteten inden for restauration</v>
      </c>
      <c r="V37" t="str">
        <f t="shared" si="3"/>
        <v xml:space="preserve"> </v>
      </c>
    </row>
    <row r="38" spans="12:22" x14ac:dyDescent="0.2">
      <c r="L38" s="8">
        <v>142010</v>
      </c>
      <c r="M38" s="8" t="s">
        <v>98</v>
      </c>
      <c r="N38" s="14" t="str">
        <f t="shared" si="0"/>
        <v>142010 Ledelse af hovedaktiviteten inden for detailhandel</v>
      </c>
      <c r="V38" t="str">
        <f t="shared" si="3"/>
        <v xml:space="preserve"> </v>
      </c>
    </row>
    <row r="39" spans="12:22" x14ac:dyDescent="0.2">
      <c r="L39" s="8">
        <v>142020</v>
      </c>
      <c r="M39" s="8" t="s">
        <v>99</v>
      </c>
      <c r="N39" s="14" t="str">
        <f t="shared" si="0"/>
        <v>142020 Ledelse af hovedaktiviteten inden for engroshandel</v>
      </c>
      <c r="V39" t="str">
        <f t="shared" si="3"/>
        <v xml:space="preserve"> </v>
      </c>
    </row>
    <row r="40" spans="12:22" x14ac:dyDescent="0.2">
      <c r="L40" s="8">
        <v>143100</v>
      </c>
      <c r="M40" s="8" t="s">
        <v>100</v>
      </c>
      <c r="N40" s="14" t="str">
        <f t="shared" si="0"/>
        <v>143100 Ledelse af hovedaktiviteten inden for sport, forlystelse og kultur</v>
      </c>
      <c r="V40" t="str">
        <f t="shared" si="3"/>
        <v xml:space="preserve"> </v>
      </c>
    </row>
    <row r="41" spans="12:22" x14ac:dyDescent="0.2">
      <c r="L41" s="8">
        <v>143900</v>
      </c>
      <c r="M41" s="8" t="s">
        <v>101</v>
      </c>
      <c r="N41" s="14" t="str">
        <f t="shared" si="0"/>
        <v>143900 Ledelse af hovedaktiviteten inden for andre serviceområder</v>
      </c>
      <c r="V41" t="str">
        <f t="shared" si="3"/>
        <v xml:space="preserve"> </v>
      </c>
    </row>
    <row r="42" spans="12:22" x14ac:dyDescent="0.2">
      <c r="L42" s="8">
        <v>211100</v>
      </c>
      <c r="M42" s="8" t="s">
        <v>102</v>
      </c>
      <c r="N42" s="14" t="str">
        <f t="shared" si="0"/>
        <v>211100 Arbejde inden for fysik og astronomi</v>
      </c>
      <c r="V42" t="str">
        <f t="shared" si="3"/>
        <v xml:space="preserve"> </v>
      </c>
    </row>
    <row r="43" spans="12:22" x14ac:dyDescent="0.2">
      <c r="L43" s="8">
        <v>211200</v>
      </c>
      <c r="M43" s="8" t="s">
        <v>103</v>
      </c>
      <c r="N43" s="14" t="str">
        <f t="shared" si="0"/>
        <v>211200 Arbejde inden for meteorologi</v>
      </c>
      <c r="V43" t="str">
        <f t="shared" si="3"/>
        <v xml:space="preserve"> </v>
      </c>
    </row>
    <row r="44" spans="12:22" x14ac:dyDescent="0.2">
      <c r="L44" s="8">
        <v>211300</v>
      </c>
      <c r="M44" s="8" t="s">
        <v>104</v>
      </c>
      <c r="N44" s="14" t="str">
        <f t="shared" si="0"/>
        <v>211300 Arbejde inden for kemi</v>
      </c>
      <c r="V44" t="str">
        <f t="shared" si="3"/>
        <v xml:space="preserve"> </v>
      </c>
    </row>
    <row r="45" spans="12:22" x14ac:dyDescent="0.2">
      <c r="L45" s="8">
        <v>211400</v>
      </c>
      <c r="M45" s="8" t="s">
        <v>105</v>
      </c>
      <c r="N45" s="14" t="str">
        <f t="shared" si="0"/>
        <v>211400 Arbejde inden for geologi og geofysik</v>
      </c>
      <c r="V45" t="str">
        <f t="shared" si="3"/>
        <v xml:space="preserve"> </v>
      </c>
    </row>
    <row r="46" spans="12:22" x14ac:dyDescent="0.2">
      <c r="L46" s="8">
        <v>212000</v>
      </c>
      <c r="M46" s="8" t="s">
        <v>106</v>
      </c>
      <c r="N46" s="14" t="str">
        <f t="shared" si="0"/>
        <v>212000 Arbejde med matematiske, aktuariske og statistiske metoder og teorier</v>
      </c>
      <c r="V46" t="str">
        <f t="shared" si="3"/>
        <v xml:space="preserve"> </v>
      </c>
    </row>
    <row r="47" spans="12:22" x14ac:dyDescent="0.2">
      <c r="L47" s="8">
        <v>213110</v>
      </c>
      <c r="M47" s="8" t="s">
        <v>107</v>
      </c>
      <c r="N47" s="14" t="str">
        <f t="shared" si="0"/>
        <v>213110 Arbejde inden for biokemi</v>
      </c>
      <c r="V47" t="str">
        <f t="shared" si="3"/>
        <v xml:space="preserve"> </v>
      </c>
    </row>
    <row r="48" spans="12:22" x14ac:dyDescent="0.2">
      <c r="L48" s="8">
        <v>213120</v>
      </c>
      <c r="M48" s="8" t="s">
        <v>108</v>
      </c>
      <c r="N48" s="14" t="str">
        <f t="shared" si="0"/>
        <v>213120 Arbejde inden for biologi, botanik, zoologi og beslægtede områder</v>
      </c>
      <c r="V48" t="str">
        <f t="shared" si="3"/>
        <v xml:space="preserve"> </v>
      </c>
    </row>
    <row r="49" spans="12:22" x14ac:dyDescent="0.2">
      <c r="L49" s="8">
        <v>213200</v>
      </c>
      <c r="M49" s="8" t="s">
        <v>109</v>
      </c>
      <c r="N49" s="14" t="str">
        <f t="shared" si="0"/>
        <v>213200 Rådgivning inden for landbrug, skovbrug og fiskeri</v>
      </c>
      <c r="V49" t="str">
        <f t="shared" ref="V49:V66" si="4">CONCATENATE(T48," ",U48)</f>
        <v xml:space="preserve"> </v>
      </c>
    </row>
    <row r="50" spans="12:22" x14ac:dyDescent="0.2">
      <c r="L50" s="8">
        <v>213300</v>
      </c>
      <c r="M50" s="8" t="s">
        <v>110</v>
      </c>
      <c r="N50" s="14" t="str">
        <f t="shared" si="0"/>
        <v>213300 Arbejde inden for miljøbeskyttelse</v>
      </c>
      <c r="V50" t="str">
        <f t="shared" si="4"/>
        <v xml:space="preserve"> </v>
      </c>
    </row>
    <row r="51" spans="12:22" x14ac:dyDescent="0.2">
      <c r="L51" s="8">
        <v>214100</v>
      </c>
      <c r="M51" s="8" t="s">
        <v>111</v>
      </c>
      <c r="N51" s="14" t="str">
        <f t="shared" si="0"/>
        <v>214100 Ingeniørarbejde i industri og produktion</v>
      </c>
      <c r="V51" t="str">
        <f t="shared" si="4"/>
        <v xml:space="preserve"> </v>
      </c>
    </row>
    <row r="52" spans="12:22" x14ac:dyDescent="0.2">
      <c r="L52" s="8">
        <v>214200</v>
      </c>
      <c r="M52" s="8" t="s">
        <v>112</v>
      </c>
      <c r="N52" s="14" t="str">
        <f t="shared" si="0"/>
        <v>214200 Ingeniørarbejde vedrørende bygninger og anlæg</v>
      </c>
      <c r="V52" t="str">
        <f t="shared" si="4"/>
        <v xml:space="preserve"> </v>
      </c>
    </row>
    <row r="53" spans="12:22" x14ac:dyDescent="0.2">
      <c r="L53" s="8">
        <v>214300</v>
      </c>
      <c r="M53" s="8" t="s">
        <v>113</v>
      </c>
      <c r="N53" s="14" t="str">
        <f t="shared" si="0"/>
        <v>214300 Ingeniørarbejde inden for miljø</v>
      </c>
      <c r="V53" t="str">
        <f t="shared" si="4"/>
        <v xml:space="preserve"> </v>
      </c>
    </row>
    <row r="54" spans="12:22" x14ac:dyDescent="0.2">
      <c r="L54" s="8">
        <v>214400</v>
      </c>
      <c r="M54" s="8" t="s">
        <v>114</v>
      </c>
      <c r="N54" s="14" t="str">
        <f t="shared" si="0"/>
        <v>214400 Ingeniørarbejde inden for mekaniske systemer</v>
      </c>
      <c r="V54" t="str">
        <f t="shared" si="4"/>
        <v xml:space="preserve"> </v>
      </c>
    </row>
    <row r="55" spans="12:22" x14ac:dyDescent="0.2">
      <c r="L55" s="8">
        <v>214500</v>
      </c>
      <c r="M55" s="8" t="s">
        <v>115</v>
      </c>
      <c r="N55" s="14" t="str">
        <f t="shared" si="0"/>
        <v>214500 Ingeniørarbejde inden for kemi</v>
      </c>
      <c r="V55" t="str">
        <f t="shared" si="4"/>
        <v xml:space="preserve"> </v>
      </c>
    </row>
    <row r="56" spans="12:22" x14ac:dyDescent="0.2">
      <c r="L56" s="8">
        <v>214600</v>
      </c>
      <c r="M56" s="8" t="s">
        <v>116</v>
      </c>
      <c r="N56" s="14" t="str">
        <f t="shared" si="0"/>
        <v>214600 Ingeniørarbejde inden for minedrift, metallurgi og beslægtede områder</v>
      </c>
      <c r="V56" t="str">
        <f t="shared" si="4"/>
        <v xml:space="preserve"> </v>
      </c>
    </row>
    <row r="57" spans="12:22" x14ac:dyDescent="0.2">
      <c r="L57" s="8">
        <v>214900</v>
      </c>
      <c r="M57" s="8" t="s">
        <v>117</v>
      </c>
      <c r="N57" s="14" t="str">
        <f t="shared" si="0"/>
        <v>214900 Andet ingeniørarbejde (undtagen elektroteknologi)</v>
      </c>
      <c r="V57" t="str">
        <f t="shared" si="4"/>
        <v xml:space="preserve"> </v>
      </c>
    </row>
    <row r="58" spans="12:22" x14ac:dyDescent="0.2">
      <c r="L58" s="8">
        <v>215100</v>
      </c>
      <c r="M58" s="8" t="s">
        <v>118</v>
      </c>
      <c r="N58" s="14" t="str">
        <f t="shared" si="0"/>
        <v>215100 Ingeniørarbejde inden for elektricitet</v>
      </c>
      <c r="V58" t="str">
        <f t="shared" si="4"/>
        <v xml:space="preserve"> </v>
      </c>
    </row>
    <row r="59" spans="12:22" x14ac:dyDescent="0.2">
      <c r="L59" s="8">
        <v>215200</v>
      </c>
      <c r="M59" s="8" t="s">
        <v>119</v>
      </c>
      <c r="N59" s="14" t="str">
        <f t="shared" si="0"/>
        <v>215200 Ingeniørarbejde inden for elektronik</v>
      </c>
      <c r="V59" t="str">
        <f t="shared" si="4"/>
        <v xml:space="preserve"> </v>
      </c>
    </row>
    <row r="60" spans="12:22" x14ac:dyDescent="0.2">
      <c r="L60" s="8">
        <v>215300</v>
      </c>
      <c r="M60" s="8" t="s">
        <v>120</v>
      </c>
      <c r="N60" s="14" t="str">
        <f t="shared" si="0"/>
        <v>215300 Ingeniørarbejde inden for telekommunikation</v>
      </c>
      <c r="V60" t="str">
        <f t="shared" si="4"/>
        <v xml:space="preserve"> </v>
      </c>
    </row>
    <row r="61" spans="12:22" x14ac:dyDescent="0.2">
      <c r="L61" s="8">
        <v>216100</v>
      </c>
      <c r="M61" s="8" t="s">
        <v>121</v>
      </c>
      <c r="N61" s="14" t="str">
        <f t="shared" si="0"/>
        <v>216100 Arbejde med bygningsarkitektur</v>
      </c>
      <c r="V61" t="str">
        <f t="shared" si="4"/>
        <v xml:space="preserve"> </v>
      </c>
    </row>
    <row r="62" spans="12:22" x14ac:dyDescent="0.2">
      <c r="L62" s="8">
        <v>216200</v>
      </c>
      <c r="M62" s="8" t="s">
        <v>122</v>
      </c>
      <c r="N62" s="14" t="str">
        <f t="shared" si="0"/>
        <v>216200 Arbejde med landskabsarkitektur</v>
      </c>
      <c r="V62" t="str">
        <f t="shared" si="4"/>
        <v xml:space="preserve"> </v>
      </c>
    </row>
    <row r="63" spans="12:22" x14ac:dyDescent="0.2">
      <c r="L63" s="8">
        <v>216300</v>
      </c>
      <c r="M63" s="8" t="s">
        <v>123</v>
      </c>
      <c r="N63" s="14" t="str">
        <f t="shared" si="0"/>
        <v>216300 Arbejde med produkt- og tøjdesign</v>
      </c>
      <c r="V63" t="str">
        <f t="shared" si="4"/>
        <v xml:space="preserve"> </v>
      </c>
    </row>
    <row r="64" spans="12:22" x14ac:dyDescent="0.2">
      <c r="L64" s="8">
        <v>216400</v>
      </c>
      <c r="M64" s="8" t="s">
        <v>124</v>
      </c>
      <c r="N64" s="14" t="str">
        <f t="shared" si="0"/>
        <v>216400 Arbejde med by- og trafikplanlægning</v>
      </c>
      <c r="V64" t="str">
        <f t="shared" si="4"/>
        <v xml:space="preserve"> </v>
      </c>
    </row>
    <row r="65" spans="12:22" x14ac:dyDescent="0.2">
      <c r="L65" s="8">
        <v>216500</v>
      </c>
      <c r="M65" s="8" t="s">
        <v>125</v>
      </c>
      <c r="N65" s="14" t="str">
        <f t="shared" si="0"/>
        <v>216500 Arbejde med kartografi og landinspektørarbejde</v>
      </c>
      <c r="V65" t="str">
        <f t="shared" si="4"/>
        <v xml:space="preserve"> </v>
      </c>
    </row>
    <row r="66" spans="12:22" x14ac:dyDescent="0.2">
      <c r="L66" s="8">
        <v>216600</v>
      </c>
      <c r="M66" s="8" t="s">
        <v>126</v>
      </c>
      <c r="N66" s="14" t="str">
        <f t="shared" si="0"/>
        <v>216600 Arbejde med grafisk og multimediedesign</v>
      </c>
      <c r="V66" t="str">
        <f t="shared" si="4"/>
        <v xml:space="preserve"> </v>
      </c>
    </row>
    <row r="67" spans="12:22" x14ac:dyDescent="0.2">
      <c r="L67" s="8">
        <v>221100</v>
      </c>
      <c r="M67" s="8" t="s">
        <v>127</v>
      </c>
      <c r="N67" s="14" t="str">
        <f t="shared" ref="N67:N130" si="5">L67&amp;" "&amp;M67</f>
        <v>221100 Almindeligt lægearbejde</v>
      </c>
      <c r="V67" t="str">
        <f t="shared" ref="V67:V130" si="6">CONCATENATE(T66," ",U66)</f>
        <v xml:space="preserve"> </v>
      </c>
    </row>
    <row r="68" spans="12:22" x14ac:dyDescent="0.2">
      <c r="L68" s="8">
        <v>221200</v>
      </c>
      <c r="M68" s="8" t="s">
        <v>128</v>
      </c>
      <c r="N68" s="14" t="str">
        <f t="shared" si="5"/>
        <v>221200 Speciallægearbejde</v>
      </c>
      <c r="V68" t="str">
        <f t="shared" si="6"/>
        <v xml:space="preserve"> </v>
      </c>
    </row>
    <row r="69" spans="12:22" x14ac:dyDescent="0.2">
      <c r="L69" s="8">
        <v>222110</v>
      </c>
      <c r="M69" s="8" t="s">
        <v>129</v>
      </c>
      <c r="N69" s="14" t="str">
        <f t="shared" si="5"/>
        <v>222110 Sygeplejerskearbejde, basisfunktioner</v>
      </c>
      <c r="V69" t="str">
        <f t="shared" si="6"/>
        <v xml:space="preserve"> </v>
      </c>
    </row>
    <row r="70" spans="12:22" x14ac:dyDescent="0.2">
      <c r="L70" s="8">
        <v>222120</v>
      </c>
      <c r="M70" s="8" t="s">
        <v>130</v>
      </c>
      <c r="N70" s="14" t="str">
        <f t="shared" si="5"/>
        <v>222120 Sygeplejerskearbejde, specialfunktioner</v>
      </c>
      <c r="V70" t="str">
        <f t="shared" si="6"/>
        <v xml:space="preserve"> </v>
      </c>
    </row>
    <row r="71" spans="12:22" x14ac:dyDescent="0.2">
      <c r="L71" s="8">
        <v>222130</v>
      </c>
      <c r="M71" s="8" t="s">
        <v>131</v>
      </c>
      <c r="N71" s="14" t="str">
        <f t="shared" si="5"/>
        <v>222130 Sundhedsplejerskearbejde</v>
      </c>
      <c r="V71" t="str">
        <f t="shared" si="6"/>
        <v xml:space="preserve"> </v>
      </c>
    </row>
    <row r="72" spans="12:22" x14ac:dyDescent="0.2">
      <c r="L72" s="8">
        <v>222200</v>
      </c>
      <c r="M72" s="8" t="s">
        <v>132</v>
      </c>
      <c r="N72" s="14" t="str">
        <f t="shared" si="5"/>
        <v>222200 Jordemoderarbejde</v>
      </c>
      <c r="V72" t="str">
        <f t="shared" si="6"/>
        <v xml:space="preserve"> </v>
      </c>
    </row>
    <row r="73" spans="12:22" x14ac:dyDescent="0.2">
      <c r="L73" s="8">
        <v>223000</v>
      </c>
      <c r="M73" s="8" t="s">
        <v>133</v>
      </c>
      <c r="N73" s="14" t="str">
        <f t="shared" si="5"/>
        <v>223000 Arbejde inden for naturmedicin og alternativ behandling</v>
      </c>
      <c r="V73" t="str">
        <f t="shared" si="6"/>
        <v xml:space="preserve"> </v>
      </c>
    </row>
    <row r="74" spans="12:22" x14ac:dyDescent="0.2">
      <c r="L74" s="8">
        <v>224000</v>
      </c>
      <c r="M74" s="8" t="s">
        <v>134</v>
      </c>
      <c r="N74" s="14" t="str">
        <f t="shared" si="5"/>
        <v>224000 Paramedicinsk arbejde</v>
      </c>
      <c r="V74" t="str">
        <f t="shared" si="6"/>
        <v xml:space="preserve"> </v>
      </c>
    </row>
    <row r="75" spans="12:22" x14ac:dyDescent="0.2">
      <c r="L75" s="8">
        <v>225000</v>
      </c>
      <c r="M75" s="8" t="s">
        <v>135</v>
      </c>
      <c r="N75" s="14" t="str">
        <f t="shared" si="5"/>
        <v>225000 Dyrlægearbejde</v>
      </c>
      <c r="V75" t="str">
        <f t="shared" si="6"/>
        <v xml:space="preserve"> </v>
      </c>
    </row>
    <row r="76" spans="12:22" x14ac:dyDescent="0.2">
      <c r="L76" s="8">
        <v>226100</v>
      </c>
      <c r="M76" s="8" t="s">
        <v>136</v>
      </c>
      <c r="N76" s="14" t="str">
        <f t="shared" si="5"/>
        <v>226100 Tandlægearbejde</v>
      </c>
      <c r="V76" t="str">
        <f t="shared" si="6"/>
        <v xml:space="preserve"> </v>
      </c>
    </row>
    <row r="77" spans="12:22" x14ac:dyDescent="0.2">
      <c r="L77" s="8">
        <v>226200</v>
      </c>
      <c r="M77" s="8" t="s">
        <v>137</v>
      </c>
      <c r="N77" s="14" t="str">
        <f t="shared" si="5"/>
        <v>226200 Farmaceutarbejde</v>
      </c>
      <c r="V77" t="str">
        <f t="shared" si="6"/>
        <v xml:space="preserve"> </v>
      </c>
    </row>
    <row r="78" spans="12:22" x14ac:dyDescent="0.2">
      <c r="L78" s="8">
        <v>226300</v>
      </c>
      <c r="M78" s="8" t="s">
        <v>138</v>
      </c>
      <c r="N78" s="14" t="str">
        <f t="shared" si="5"/>
        <v>226300 Arbejde inden for arbejdsmiljø og hygiejne</v>
      </c>
      <c r="V78" t="str">
        <f t="shared" si="6"/>
        <v xml:space="preserve"> </v>
      </c>
    </row>
    <row r="79" spans="12:22" x14ac:dyDescent="0.2">
      <c r="L79" s="8">
        <v>226410</v>
      </c>
      <c r="M79" s="8" t="s">
        <v>139</v>
      </c>
      <c r="N79" s="14" t="str">
        <f t="shared" si="5"/>
        <v>226410 Fysioterapeutarbejde</v>
      </c>
      <c r="V79" t="str">
        <f t="shared" si="6"/>
        <v xml:space="preserve"> </v>
      </c>
    </row>
    <row r="80" spans="12:22" x14ac:dyDescent="0.2">
      <c r="L80" s="8">
        <v>226420</v>
      </c>
      <c r="M80" s="8" t="s">
        <v>140</v>
      </c>
      <c r="N80" s="14" t="str">
        <f t="shared" si="5"/>
        <v>226420 Afspændingspædagogarbejde</v>
      </c>
      <c r="V80" t="str">
        <f t="shared" si="6"/>
        <v xml:space="preserve"> </v>
      </c>
    </row>
    <row r="81" spans="12:22" x14ac:dyDescent="0.2">
      <c r="L81" s="8">
        <v>226510</v>
      </c>
      <c r="M81" s="8" t="s">
        <v>141</v>
      </c>
      <c r="N81" s="14" t="str">
        <f t="shared" si="5"/>
        <v>226510 Kost- og ernæringsarbejde, basisfunktioner</v>
      </c>
      <c r="V81" t="str">
        <f t="shared" si="6"/>
        <v xml:space="preserve"> </v>
      </c>
    </row>
    <row r="82" spans="12:22" x14ac:dyDescent="0.2">
      <c r="L82" s="8">
        <v>226520</v>
      </c>
      <c r="M82" s="8" t="s">
        <v>142</v>
      </c>
      <c r="N82" s="14" t="str">
        <f t="shared" si="5"/>
        <v>226520 Kost- og ernæringsarbejde, specialfunktioner</v>
      </c>
      <c r="V82" t="str">
        <f t="shared" si="6"/>
        <v xml:space="preserve"> </v>
      </c>
    </row>
    <row r="83" spans="12:22" x14ac:dyDescent="0.2">
      <c r="L83" s="8">
        <v>226610</v>
      </c>
      <c r="M83" s="8" t="s">
        <v>143</v>
      </c>
      <c r="N83" s="14" t="str">
        <f t="shared" si="5"/>
        <v>226610 Arbejde inden for audiologi</v>
      </c>
      <c r="V83" t="str">
        <f t="shared" si="6"/>
        <v xml:space="preserve"> </v>
      </c>
    </row>
    <row r="84" spans="12:22" x14ac:dyDescent="0.2">
      <c r="L84" s="8">
        <v>226620</v>
      </c>
      <c r="M84" s="8" t="s">
        <v>144</v>
      </c>
      <c r="N84" s="14" t="str">
        <f t="shared" si="5"/>
        <v>226620 Arbejde inden for logopædi</v>
      </c>
      <c r="V84" t="str">
        <f t="shared" si="6"/>
        <v xml:space="preserve"> </v>
      </c>
    </row>
    <row r="85" spans="12:22" x14ac:dyDescent="0.2">
      <c r="L85" s="8">
        <v>226700</v>
      </c>
      <c r="M85" s="8" t="s">
        <v>145</v>
      </c>
      <c r="N85" s="14" t="str">
        <f t="shared" si="5"/>
        <v>226700 Optiker/optometristarbejde</v>
      </c>
      <c r="V85" t="str">
        <f t="shared" si="6"/>
        <v xml:space="preserve"> </v>
      </c>
    </row>
    <row r="86" spans="12:22" x14ac:dyDescent="0.2">
      <c r="L86" s="8">
        <v>226910</v>
      </c>
      <c r="M86" s="8" t="s">
        <v>146</v>
      </c>
      <c r="N86" s="14" t="str">
        <f t="shared" si="5"/>
        <v>226910 Ergoterapeutarbejde</v>
      </c>
      <c r="V86" t="str">
        <f t="shared" si="6"/>
        <v xml:space="preserve"> </v>
      </c>
    </row>
    <row r="87" spans="12:22" x14ac:dyDescent="0.2">
      <c r="L87" s="8">
        <v>226920</v>
      </c>
      <c r="M87" s="8" t="s">
        <v>147</v>
      </c>
      <c r="N87" s="14" t="str">
        <f t="shared" si="5"/>
        <v>226920 Fodterapeutarbejde</v>
      </c>
      <c r="V87" t="str">
        <f t="shared" si="6"/>
        <v xml:space="preserve"> </v>
      </c>
    </row>
    <row r="88" spans="12:22" x14ac:dyDescent="0.2">
      <c r="L88" s="8">
        <v>226930</v>
      </c>
      <c r="M88" s="8" t="s">
        <v>148</v>
      </c>
      <c r="N88" s="14" t="str">
        <f t="shared" si="5"/>
        <v>226930 Kiropraktikerarbejde</v>
      </c>
      <c r="V88" t="str">
        <f t="shared" si="6"/>
        <v xml:space="preserve"> </v>
      </c>
    </row>
    <row r="89" spans="12:22" x14ac:dyDescent="0.2">
      <c r="L89" s="8">
        <v>226990</v>
      </c>
      <c r="M89" s="8" t="s">
        <v>149</v>
      </c>
      <c r="N89" s="14" t="str">
        <f t="shared" si="5"/>
        <v>226990 Sundhedsarbejde ikke klassificeret andetsteds</v>
      </c>
      <c r="V89" t="str">
        <f t="shared" si="6"/>
        <v xml:space="preserve"> </v>
      </c>
    </row>
    <row r="90" spans="12:22" x14ac:dyDescent="0.2">
      <c r="L90" s="8">
        <v>231010</v>
      </c>
      <c r="M90" s="8" t="s">
        <v>150</v>
      </c>
      <c r="N90" s="14" t="str">
        <f t="shared" si="5"/>
        <v>231010 Undervisning og forskning ved lange videregående uddannelser</v>
      </c>
      <c r="V90" t="str">
        <f t="shared" si="6"/>
        <v xml:space="preserve"> </v>
      </c>
    </row>
    <row r="91" spans="12:22" x14ac:dyDescent="0.2">
      <c r="L91" s="8">
        <v>231020</v>
      </c>
      <c r="M91" s="8" t="s">
        <v>151</v>
      </c>
      <c r="N91" s="14" t="str">
        <f t="shared" si="5"/>
        <v>231020 Undervisning og forskning ved mellemlange videregående uddannelser</v>
      </c>
      <c r="V91" t="str">
        <f t="shared" si="6"/>
        <v xml:space="preserve"> </v>
      </c>
    </row>
    <row r="92" spans="12:22" x14ac:dyDescent="0.2">
      <c r="L92" s="8">
        <v>231030</v>
      </c>
      <c r="M92" s="8" t="s">
        <v>152</v>
      </c>
      <c r="N92" s="14" t="str">
        <f t="shared" si="5"/>
        <v>231030 Undervisning og forskning ved korte videregående uddannelser</v>
      </c>
      <c r="V92" t="str">
        <f t="shared" si="6"/>
        <v xml:space="preserve"> </v>
      </c>
    </row>
    <row r="93" spans="12:22" x14ac:dyDescent="0.2">
      <c r="L93" s="8">
        <v>232010</v>
      </c>
      <c r="M93" s="8" t="s">
        <v>153</v>
      </c>
      <c r="N93" s="14" t="str">
        <f t="shared" si="5"/>
        <v>232010 Undervisning ved erhvervsuddannelser for unge</v>
      </c>
      <c r="V93" t="str">
        <f t="shared" si="6"/>
        <v xml:space="preserve"> </v>
      </c>
    </row>
    <row r="94" spans="12:22" x14ac:dyDescent="0.2">
      <c r="L94" s="8">
        <v>232020</v>
      </c>
      <c r="M94" s="8" t="s">
        <v>154</v>
      </c>
      <c r="N94" s="14" t="str">
        <f t="shared" si="5"/>
        <v>232020 Undervisning ved arbejdsmarkedsuddannelser</v>
      </c>
      <c r="V94" t="str">
        <f t="shared" si="6"/>
        <v xml:space="preserve"> </v>
      </c>
    </row>
    <row r="95" spans="12:22" x14ac:dyDescent="0.2">
      <c r="L95" s="8">
        <v>232030</v>
      </c>
      <c r="M95" s="8" t="s">
        <v>155</v>
      </c>
      <c r="N95" s="14" t="str">
        <f t="shared" si="5"/>
        <v>232030 Undervisning ved voksenerhvervsuddannelser</v>
      </c>
      <c r="V95" t="str">
        <f t="shared" si="6"/>
        <v xml:space="preserve"> </v>
      </c>
    </row>
    <row r="96" spans="12:22" x14ac:dyDescent="0.2">
      <c r="L96" s="8">
        <v>233010</v>
      </c>
      <c r="M96" s="8" t="s">
        <v>156</v>
      </c>
      <c r="N96" s="14" t="str">
        <f t="shared" si="5"/>
        <v>233010 Undervisning på gymnasialt niveau</v>
      </c>
      <c r="V96" t="str">
        <f t="shared" si="6"/>
        <v xml:space="preserve"> </v>
      </c>
    </row>
    <row r="97" spans="12:22" x14ac:dyDescent="0.2">
      <c r="L97" s="8">
        <v>233020</v>
      </c>
      <c r="M97" s="8" t="s">
        <v>157</v>
      </c>
      <c r="N97" s="14" t="str">
        <f t="shared" si="5"/>
        <v>233020 Undervisning ved øvrige almene uddannelser efter grundskoleniveau</v>
      </c>
      <c r="V97" t="str">
        <f t="shared" si="6"/>
        <v xml:space="preserve"> </v>
      </c>
    </row>
    <row r="98" spans="12:22" x14ac:dyDescent="0.2">
      <c r="L98" s="8">
        <v>234110</v>
      </c>
      <c r="M98" s="8" t="s">
        <v>158</v>
      </c>
      <c r="N98" s="14" t="str">
        <f t="shared" si="5"/>
        <v>234110 Undervisning på grundskoleniveau, unge og voksne</v>
      </c>
      <c r="V98" t="str">
        <f t="shared" si="6"/>
        <v xml:space="preserve"> </v>
      </c>
    </row>
    <row r="99" spans="12:22" x14ac:dyDescent="0.2">
      <c r="L99" s="8">
        <v>234120</v>
      </c>
      <c r="M99" s="8" t="s">
        <v>159</v>
      </c>
      <c r="N99" s="14" t="str">
        <f t="shared" si="5"/>
        <v>234120 Undervisning på grundskoleniveau, (børn, 1.-10. klasse)</v>
      </c>
      <c r="V99" t="str">
        <f t="shared" si="6"/>
        <v xml:space="preserve"> </v>
      </c>
    </row>
    <row r="100" spans="12:22" x14ac:dyDescent="0.2">
      <c r="L100" s="8">
        <v>234130</v>
      </c>
      <c r="M100" s="8" t="s">
        <v>160</v>
      </c>
      <c r="N100" s="14" t="str">
        <f t="shared" si="5"/>
        <v>234130 Undervisning på grundskoleniveau, børnehaveklasseniveau</v>
      </c>
      <c r="V100" t="str">
        <f t="shared" si="6"/>
        <v xml:space="preserve"> </v>
      </c>
    </row>
    <row r="101" spans="12:22" x14ac:dyDescent="0.2">
      <c r="L101" s="8">
        <v>234200</v>
      </c>
      <c r="M101" s="8" t="s">
        <v>161</v>
      </c>
      <c r="N101" s="14" t="str">
        <f t="shared" si="5"/>
        <v>234200 Undervisning før grundskoleniveau</v>
      </c>
      <c r="V101" t="str">
        <f t="shared" si="6"/>
        <v xml:space="preserve"> </v>
      </c>
    </row>
    <row r="102" spans="12:22" x14ac:dyDescent="0.2">
      <c r="L102" s="8">
        <v>234310</v>
      </c>
      <c r="M102" s="8" t="s">
        <v>162</v>
      </c>
      <c r="N102" s="14" t="str">
        <f t="shared" si="5"/>
        <v>234310 Pædagogisk arbejde med unge og voksne</v>
      </c>
      <c r="V102" t="str">
        <f t="shared" si="6"/>
        <v xml:space="preserve"> </v>
      </c>
    </row>
    <row r="103" spans="12:22" x14ac:dyDescent="0.2">
      <c r="L103" s="8">
        <v>234320</v>
      </c>
      <c r="M103" s="8" t="s">
        <v>163</v>
      </c>
      <c r="N103" s="14" t="str">
        <f t="shared" si="5"/>
        <v>234320 Pædagogisk arbejde, fritidsklubber/legepladser</v>
      </c>
      <c r="V103" t="str">
        <f t="shared" si="6"/>
        <v xml:space="preserve"> </v>
      </c>
    </row>
    <row r="104" spans="12:22" x14ac:dyDescent="0.2">
      <c r="L104" s="8">
        <v>234330</v>
      </c>
      <c r="M104" s="8" t="s">
        <v>164</v>
      </c>
      <c r="N104" s="14" t="str">
        <f t="shared" si="5"/>
        <v>234330 Pædagogisk arbejde i skolefritidsordninger/fritidshjem og på skoler</v>
      </c>
      <c r="V104" t="str">
        <f t="shared" si="6"/>
        <v xml:space="preserve"> </v>
      </c>
    </row>
    <row r="105" spans="12:22" x14ac:dyDescent="0.2">
      <c r="L105" s="8">
        <v>234340</v>
      </c>
      <c r="M105" s="8" t="s">
        <v>165</v>
      </c>
      <c r="N105" s="14" t="str">
        <f t="shared" si="5"/>
        <v>234340 Pædagogisk arbejde, førskolebørn</v>
      </c>
      <c r="V105" t="str">
        <f t="shared" si="6"/>
        <v xml:space="preserve"> </v>
      </c>
    </row>
    <row r="106" spans="12:22" x14ac:dyDescent="0.2">
      <c r="L106" s="8">
        <v>234390</v>
      </c>
      <c r="M106" s="8" t="s">
        <v>166</v>
      </c>
      <c r="N106" s="14" t="str">
        <f t="shared" si="5"/>
        <v>234390 Andet pædagogisk arbejde</v>
      </c>
      <c r="V106" t="str">
        <f t="shared" si="6"/>
        <v xml:space="preserve"> </v>
      </c>
    </row>
    <row r="107" spans="12:22" x14ac:dyDescent="0.2">
      <c r="L107" s="8">
        <v>235100</v>
      </c>
      <c r="M107" s="8" t="s">
        <v>167</v>
      </c>
      <c r="N107" s="14" t="str">
        <f t="shared" si="5"/>
        <v>235100 Forskning, udvikling og rådgivning inden for undervisningsmetoder</v>
      </c>
      <c r="V107" t="str">
        <f t="shared" si="6"/>
        <v xml:space="preserve"> </v>
      </c>
    </row>
    <row r="108" spans="12:22" x14ac:dyDescent="0.2">
      <c r="L108" s="8">
        <v>235210</v>
      </c>
      <c r="M108" s="8" t="s">
        <v>168</v>
      </c>
      <c r="N108" s="14" t="str">
        <f t="shared" si="5"/>
        <v>235210 Specialundervisning, unge og voksne</v>
      </c>
      <c r="V108" t="str">
        <f t="shared" si="6"/>
        <v xml:space="preserve"> </v>
      </c>
    </row>
    <row r="109" spans="12:22" x14ac:dyDescent="0.2">
      <c r="L109" s="8">
        <v>235220</v>
      </c>
      <c r="M109" s="8" t="s">
        <v>169</v>
      </c>
      <c r="N109" s="14" t="str">
        <f t="shared" si="5"/>
        <v>235220 Specialundervisning på grundskoleniveau (1.-10. klasse)</v>
      </c>
      <c r="V109" t="str">
        <f t="shared" si="6"/>
        <v xml:space="preserve"> </v>
      </c>
    </row>
    <row r="110" spans="12:22" x14ac:dyDescent="0.2">
      <c r="L110" s="8">
        <v>235230</v>
      </c>
      <c r="M110" s="8" t="s">
        <v>170</v>
      </c>
      <c r="N110" s="14" t="str">
        <f t="shared" si="5"/>
        <v>235230 Specialundervisning på børnehaveklasseniveau</v>
      </c>
      <c r="V110" t="str">
        <f t="shared" si="6"/>
        <v xml:space="preserve"> </v>
      </c>
    </row>
    <row r="111" spans="12:22" x14ac:dyDescent="0.2">
      <c r="L111" s="8">
        <v>235300</v>
      </c>
      <c r="M111" s="8" t="s">
        <v>171</v>
      </c>
      <c r="N111" s="14" t="str">
        <f t="shared" si="5"/>
        <v>235300 Anden sprogundervisning</v>
      </c>
      <c r="V111" t="str">
        <f t="shared" si="6"/>
        <v xml:space="preserve"> </v>
      </c>
    </row>
    <row r="112" spans="12:22" x14ac:dyDescent="0.2">
      <c r="L112" s="8">
        <v>235400</v>
      </c>
      <c r="M112" s="8" t="s">
        <v>172</v>
      </c>
      <c r="N112" s="14" t="str">
        <f t="shared" si="5"/>
        <v>235400 Anden musik- og sangundervisning</v>
      </c>
      <c r="V112" t="str">
        <f t="shared" si="6"/>
        <v xml:space="preserve"> </v>
      </c>
    </row>
    <row r="113" spans="12:22" x14ac:dyDescent="0.2">
      <c r="L113" s="8">
        <v>235500</v>
      </c>
      <c r="M113" s="8" t="s">
        <v>173</v>
      </c>
      <c r="N113" s="14" t="str">
        <f t="shared" si="5"/>
        <v>235500 Anden undervisning inden for kreative fag</v>
      </c>
      <c r="V113" t="str">
        <f t="shared" si="6"/>
        <v xml:space="preserve"> </v>
      </c>
    </row>
    <row r="114" spans="12:22" x14ac:dyDescent="0.2">
      <c r="L114" s="8">
        <v>235600</v>
      </c>
      <c r="M114" s="8" t="s">
        <v>174</v>
      </c>
      <c r="N114" s="14" t="str">
        <f t="shared" si="5"/>
        <v>235600 Anden undervisning inden for informationsteknologi</v>
      </c>
      <c r="V114" t="str">
        <f t="shared" si="6"/>
        <v xml:space="preserve"> </v>
      </c>
    </row>
    <row r="115" spans="12:22" x14ac:dyDescent="0.2">
      <c r="L115" s="8">
        <v>235710</v>
      </c>
      <c r="M115" s="8" t="s">
        <v>175</v>
      </c>
      <c r="N115" s="14" t="str">
        <f t="shared" si="5"/>
        <v>235710 Specialpædagogisk arbejde, ældre og handicappede</v>
      </c>
      <c r="V115" t="str">
        <f t="shared" si="6"/>
        <v xml:space="preserve"> </v>
      </c>
    </row>
    <row r="116" spans="12:22" x14ac:dyDescent="0.2">
      <c r="L116" s="8">
        <v>235720</v>
      </c>
      <c r="M116" s="8" t="s">
        <v>176</v>
      </c>
      <c r="N116" s="14" t="str">
        <f t="shared" si="5"/>
        <v>235720 Specialpædagogisk arbejde, aktivering mv.</v>
      </c>
      <c r="V116" t="str">
        <f t="shared" si="6"/>
        <v xml:space="preserve"> </v>
      </c>
    </row>
    <row r="117" spans="12:22" x14ac:dyDescent="0.2">
      <c r="L117" s="8">
        <v>235730</v>
      </c>
      <c r="M117" s="8" t="s">
        <v>177</v>
      </c>
      <c r="N117" s="14" t="str">
        <f t="shared" si="5"/>
        <v>235730 Specialpædagogisk arbejde, rådgivning af voksne</v>
      </c>
      <c r="V117" t="str">
        <f t="shared" si="6"/>
        <v xml:space="preserve"> </v>
      </c>
    </row>
    <row r="118" spans="12:22" x14ac:dyDescent="0.2">
      <c r="L118" s="8">
        <v>235740</v>
      </c>
      <c r="M118" s="8" t="s">
        <v>178</v>
      </c>
      <c r="N118" s="14" t="str">
        <f t="shared" si="5"/>
        <v>235740 Specialpædagogisk arbejde, kontakt med- og ledsagning af voksne</v>
      </c>
      <c r="V118" t="str">
        <f t="shared" si="6"/>
        <v xml:space="preserve"> </v>
      </c>
    </row>
    <row r="119" spans="12:22" x14ac:dyDescent="0.2">
      <c r="L119" s="8">
        <v>235750</v>
      </c>
      <c r="M119" s="8" t="s">
        <v>179</v>
      </c>
      <c r="N119" s="14" t="str">
        <f t="shared" si="5"/>
        <v>235750 Specialpædagogisk arbejde, børn og unge</v>
      </c>
      <c r="V119" t="str">
        <f t="shared" si="6"/>
        <v xml:space="preserve"> </v>
      </c>
    </row>
    <row r="120" spans="12:22" x14ac:dyDescent="0.2">
      <c r="L120" s="8">
        <v>235760</v>
      </c>
      <c r="M120" s="8" t="s">
        <v>180</v>
      </c>
      <c r="N120" s="14" t="str">
        <f t="shared" si="5"/>
        <v>235760 Specialpædagogisk arbejde, førskolebørn</v>
      </c>
      <c r="V120" t="str">
        <f t="shared" si="6"/>
        <v xml:space="preserve"> </v>
      </c>
    </row>
    <row r="121" spans="12:22" x14ac:dyDescent="0.2">
      <c r="L121" s="8">
        <v>235790</v>
      </c>
      <c r="M121" s="8" t="s">
        <v>181</v>
      </c>
      <c r="N121" s="14" t="str">
        <f t="shared" si="5"/>
        <v>235790 Andet specialpædagogisk arbejde</v>
      </c>
      <c r="V121" t="str">
        <f t="shared" si="6"/>
        <v xml:space="preserve"> </v>
      </c>
    </row>
    <row r="122" spans="12:22" x14ac:dyDescent="0.2">
      <c r="L122" s="8">
        <v>235910</v>
      </c>
      <c r="M122" s="8" t="s">
        <v>182</v>
      </c>
      <c r="N122" s="14" t="str">
        <f t="shared" si="5"/>
        <v>235910 Undervisningsarbejde ikke klassificeret andetsteds (ekskl. medhjælp)</v>
      </c>
      <c r="V122" t="str">
        <f t="shared" si="6"/>
        <v xml:space="preserve"> </v>
      </c>
    </row>
    <row r="123" spans="12:22" x14ac:dyDescent="0.2">
      <c r="L123" s="8">
        <v>235920</v>
      </c>
      <c r="M123" s="8" t="s">
        <v>183</v>
      </c>
      <c r="N123" s="14" t="str">
        <f t="shared" si="5"/>
        <v>235920 Pædagogisk arbejde ikke klassificeret andetsteds (ekskl. medhjælp)</v>
      </c>
      <c r="V123" t="str">
        <f t="shared" si="6"/>
        <v xml:space="preserve"> </v>
      </c>
    </row>
    <row r="124" spans="12:22" x14ac:dyDescent="0.2">
      <c r="L124" s="8">
        <v>241100</v>
      </c>
      <c r="M124" s="8" t="s">
        <v>184</v>
      </c>
      <c r="N124" s="14" t="str">
        <f t="shared" si="5"/>
        <v>241100 Revisions- og regnskabscontrollerarbejde</v>
      </c>
      <c r="V124" t="str">
        <f t="shared" si="6"/>
        <v xml:space="preserve"> </v>
      </c>
    </row>
    <row r="125" spans="12:22" x14ac:dyDescent="0.2">
      <c r="L125" s="8">
        <v>241210</v>
      </c>
      <c r="M125" s="8" t="s">
        <v>185</v>
      </c>
      <c r="N125" s="14" t="str">
        <f t="shared" si="5"/>
        <v>241210 Rådgivning af storkunder og private banking kunder inden for finans og forsikring</v>
      </c>
      <c r="V125" t="str">
        <f t="shared" si="6"/>
        <v xml:space="preserve"> </v>
      </c>
    </row>
    <row r="126" spans="12:22" x14ac:dyDescent="0.2">
      <c r="L126" s="8">
        <v>241220</v>
      </c>
      <c r="M126" s="8" t="s">
        <v>186</v>
      </c>
      <c r="N126" s="14" t="str">
        <f t="shared" si="5"/>
        <v>241220 Generel rådgivning af erhvervskunder inden for finans og forsikring</v>
      </c>
      <c r="V126" t="str">
        <f t="shared" si="6"/>
        <v xml:space="preserve"> </v>
      </c>
    </row>
    <row r="127" spans="12:22" x14ac:dyDescent="0.2">
      <c r="L127" s="8">
        <v>241230</v>
      </c>
      <c r="M127" s="8" t="s">
        <v>187</v>
      </c>
      <c r="N127" s="14" t="str">
        <f t="shared" si="5"/>
        <v>241230 Generel rådgivning af privatkunder inden for finans og forsikring</v>
      </c>
      <c r="V127" t="str">
        <f t="shared" si="6"/>
        <v xml:space="preserve"> </v>
      </c>
    </row>
    <row r="128" spans="12:22" x14ac:dyDescent="0.2">
      <c r="L128" s="8">
        <v>241240</v>
      </c>
      <c r="M128" s="8" t="s">
        <v>188</v>
      </c>
      <c r="N128" s="14" t="str">
        <f t="shared" si="5"/>
        <v>241240 Rådgivning inden for specialområde som investering, valuta og formue</v>
      </c>
      <c r="V128" t="str">
        <f t="shared" si="6"/>
        <v xml:space="preserve"> </v>
      </c>
    </row>
    <row r="129" spans="12:22" x14ac:dyDescent="0.2">
      <c r="L129" s="8">
        <v>241310</v>
      </c>
      <c r="M129" s="8" t="s">
        <v>189</v>
      </c>
      <c r="N129" s="14" t="str">
        <f t="shared" si="5"/>
        <v>241310 Analytikerarbejde inden for finans og forsikring</v>
      </c>
      <c r="V129" t="str">
        <f t="shared" si="6"/>
        <v xml:space="preserve"> </v>
      </c>
    </row>
    <row r="130" spans="12:22" x14ac:dyDescent="0.2">
      <c r="L130" s="8">
        <v>241320</v>
      </c>
      <c r="M130" s="8" t="s">
        <v>190</v>
      </c>
      <c r="N130" s="14" t="str">
        <f t="shared" si="5"/>
        <v>241320 Arbejde med udvikling og vedligeholdelse af bank- og forsikringsprodukter</v>
      </c>
      <c r="V130" t="str">
        <f t="shared" si="6"/>
        <v xml:space="preserve"> </v>
      </c>
    </row>
    <row r="131" spans="12:22" x14ac:dyDescent="0.2">
      <c r="L131" s="8">
        <v>242100</v>
      </c>
      <c r="M131" s="8" t="s">
        <v>191</v>
      </c>
      <c r="N131" s="14" t="str">
        <f t="shared" ref="N131:N194" si="7">L131&amp;" "&amp;M131</f>
        <v>242100 Analytikerarbejde inden for ledelse og virksomhedsorganisation</v>
      </c>
      <c r="V131" t="str">
        <f t="shared" ref="V131:V194" si="8">CONCATENATE(T130," ",U130)</f>
        <v xml:space="preserve"> </v>
      </c>
    </row>
    <row r="132" spans="12:22" x14ac:dyDescent="0.2">
      <c r="L132" s="8">
        <v>242200</v>
      </c>
      <c r="M132" s="8" t="s">
        <v>192</v>
      </c>
      <c r="N132" s="14" t="str">
        <f t="shared" si="7"/>
        <v>242200 Arbejde med virksomhedsstrategi/policy</v>
      </c>
      <c r="V132" t="str">
        <f t="shared" si="8"/>
        <v xml:space="preserve"> </v>
      </c>
    </row>
    <row r="133" spans="12:22" x14ac:dyDescent="0.2">
      <c r="L133" s="8">
        <v>242300</v>
      </c>
      <c r="M133" s="8" t="s">
        <v>193</v>
      </c>
      <c r="N133" s="14" t="str">
        <f t="shared" si="7"/>
        <v>242300 Arbejde med analyse og rådgivning inden for HR</v>
      </c>
      <c r="V133" t="str">
        <f t="shared" si="8"/>
        <v xml:space="preserve"> </v>
      </c>
    </row>
    <row r="134" spans="12:22" x14ac:dyDescent="0.2">
      <c r="L134" s="8">
        <v>242400</v>
      </c>
      <c r="M134" s="8" t="s">
        <v>194</v>
      </c>
      <c r="N134" s="14" t="str">
        <f t="shared" si="7"/>
        <v>242400 Arbejde med personaleudvikling og -oplæring</v>
      </c>
      <c r="V134" t="str">
        <f t="shared" si="8"/>
        <v xml:space="preserve"> </v>
      </c>
    </row>
    <row r="135" spans="12:22" x14ac:dyDescent="0.2">
      <c r="L135" s="8">
        <v>243100</v>
      </c>
      <c r="M135" s="8" t="s">
        <v>195</v>
      </c>
      <c r="N135" s="14" t="str">
        <f t="shared" si="7"/>
        <v>243100 Arbejde inden for reklame og marketing</v>
      </c>
      <c r="V135" t="str">
        <f t="shared" si="8"/>
        <v xml:space="preserve"> </v>
      </c>
    </row>
    <row r="136" spans="12:22" x14ac:dyDescent="0.2">
      <c r="L136" s="8">
        <v>243200</v>
      </c>
      <c r="M136" s="8" t="s">
        <v>196</v>
      </c>
      <c r="N136" s="14" t="str">
        <f t="shared" si="7"/>
        <v>243200 Arbejde inden for PR</v>
      </c>
      <c r="V136" t="str">
        <f t="shared" si="8"/>
        <v xml:space="preserve"> </v>
      </c>
    </row>
    <row r="137" spans="12:22" x14ac:dyDescent="0.2">
      <c r="L137" s="8">
        <v>243310</v>
      </c>
      <c r="M137" s="8" t="s">
        <v>197</v>
      </c>
      <c r="N137" s="14" t="str">
        <f t="shared" si="7"/>
        <v>243310 Arbejde inden for teknisk salg (undtagen informations- og kommunikationsteknologi)</v>
      </c>
      <c r="V137" t="str">
        <f t="shared" si="8"/>
        <v xml:space="preserve"> </v>
      </c>
    </row>
    <row r="138" spans="12:22" x14ac:dyDescent="0.2">
      <c r="L138" s="8">
        <v>243320</v>
      </c>
      <c r="M138" s="8" t="s">
        <v>198</v>
      </c>
      <c r="N138" s="14" t="str">
        <f t="shared" si="7"/>
        <v>243320 Arbejde inden for medicinsk salg</v>
      </c>
      <c r="V138" t="str">
        <f t="shared" si="8"/>
        <v xml:space="preserve"> </v>
      </c>
    </row>
    <row r="139" spans="12:22" x14ac:dyDescent="0.2">
      <c r="L139" s="8">
        <v>243400</v>
      </c>
      <c r="M139" s="8" t="s">
        <v>199</v>
      </c>
      <c r="N139" s="14" t="str">
        <f t="shared" si="7"/>
        <v>243400 Arbejde inden for salg af informations- og kommunikationsteknologi</v>
      </c>
      <c r="V139" t="str">
        <f t="shared" si="8"/>
        <v xml:space="preserve"> </v>
      </c>
    </row>
    <row r="140" spans="12:22" x14ac:dyDescent="0.2">
      <c r="L140" s="8">
        <v>251110</v>
      </c>
      <c r="M140" s="8" t="s">
        <v>200</v>
      </c>
      <c r="N140" s="14" t="str">
        <f t="shared" si="7"/>
        <v>251110 Arbejde med overordnet IT-arkitektur</v>
      </c>
      <c r="V140" t="str">
        <f t="shared" si="8"/>
        <v xml:space="preserve"> </v>
      </c>
    </row>
    <row r="141" spans="12:22" x14ac:dyDescent="0.2">
      <c r="L141" s="8">
        <v>251120</v>
      </c>
      <c r="M141" s="8" t="s">
        <v>201</v>
      </c>
      <c r="N141" s="14" t="str">
        <f t="shared" si="7"/>
        <v>251120 Design af IT-systemer og analyse af forretningsprocesser</v>
      </c>
      <c r="V141" t="str">
        <f t="shared" si="8"/>
        <v xml:space="preserve"> </v>
      </c>
    </row>
    <row r="142" spans="12:22" x14ac:dyDescent="0.2">
      <c r="L142" s="8">
        <v>251210</v>
      </c>
      <c r="M142" s="8" t="s">
        <v>202</v>
      </c>
      <c r="N142" s="14" t="str">
        <f t="shared" si="7"/>
        <v>251210 IT-projektstyring</v>
      </c>
      <c r="V142" t="str">
        <f t="shared" si="8"/>
        <v xml:space="preserve"> </v>
      </c>
    </row>
    <row r="143" spans="12:22" x14ac:dyDescent="0.2">
      <c r="L143" s="8">
        <v>251220</v>
      </c>
      <c r="M143" s="8" t="s">
        <v>203</v>
      </c>
      <c r="N143" s="14" t="str">
        <f t="shared" si="7"/>
        <v>251220 Rådgivning og programmering inden for softwareudvikling</v>
      </c>
      <c r="V143" t="str">
        <f t="shared" si="8"/>
        <v xml:space="preserve"> </v>
      </c>
    </row>
    <row r="144" spans="12:22" x14ac:dyDescent="0.2">
      <c r="L144" s="8">
        <v>251300</v>
      </c>
      <c r="M144" s="8" t="s">
        <v>204</v>
      </c>
      <c r="N144" s="14" t="str">
        <f t="shared" si="7"/>
        <v>251300 Web- og multimedieudvikling</v>
      </c>
      <c r="V144" t="str">
        <f t="shared" si="8"/>
        <v xml:space="preserve"> </v>
      </c>
    </row>
    <row r="145" spans="12:22" x14ac:dyDescent="0.2">
      <c r="L145" s="8">
        <v>251400</v>
      </c>
      <c r="M145" s="8" t="s">
        <v>205</v>
      </c>
      <c r="N145" s="14" t="str">
        <f t="shared" si="7"/>
        <v>251400 Vedligeholdelse og dokumentation af software</v>
      </c>
      <c r="V145" t="str">
        <f t="shared" si="8"/>
        <v xml:space="preserve"> </v>
      </c>
    </row>
    <row r="146" spans="12:22" x14ac:dyDescent="0.2">
      <c r="L146" s="8">
        <v>251900</v>
      </c>
      <c r="M146" s="8" t="s">
        <v>206</v>
      </c>
      <c r="N146" s="14" t="str">
        <f t="shared" si="7"/>
        <v>251900 Andet arbejde med software, herunder test og kvalitetssikring</v>
      </c>
      <c r="V146" t="str">
        <f t="shared" si="8"/>
        <v xml:space="preserve"> </v>
      </c>
    </row>
    <row r="147" spans="12:22" x14ac:dyDescent="0.2">
      <c r="L147" s="8">
        <v>252100</v>
      </c>
      <c r="M147" s="8" t="s">
        <v>207</v>
      </c>
      <c r="N147" s="14" t="str">
        <f t="shared" si="7"/>
        <v>252100 Design og administration af databaser</v>
      </c>
      <c r="V147" t="str">
        <f t="shared" si="8"/>
        <v xml:space="preserve"> </v>
      </c>
    </row>
    <row r="148" spans="12:22" x14ac:dyDescent="0.2">
      <c r="L148" s="8">
        <v>252200</v>
      </c>
      <c r="M148" s="8" t="s">
        <v>208</v>
      </c>
      <c r="N148" s="14" t="str">
        <f t="shared" si="7"/>
        <v>252200 Systemadministration</v>
      </c>
      <c r="V148" t="str">
        <f t="shared" si="8"/>
        <v xml:space="preserve"> </v>
      </c>
    </row>
    <row r="149" spans="12:22" x14ac:dyDescent="0.2">
      <c r="L149" s="8">
        <v>252300</v>
      </c>
      <c r="M149" s="8" t="s">
        <v>209</v>
      </c>
      <c r="N149" s="14" t="str">
        <f t="shared" si="7"/>
        <v>252300 Arbejde med computernetværk</v>
      </c>
      <c r="V149" t="str">
        <f t="shared" si="8"/>
        <v xml:space="preserve"> </v>
      </c>
    </row>
    <row r="150" spans="12:22" x14ac:dyDescent="0.2">
      <c r="L150" s="8">
        <v>252900</v>
      </c>
      <c r="M150" s="8" t="s">
        <v>210</v>
      </c>
      <c r="N150" s="14" t="str">
        <f t="shared" si="7"/>
        <v>252900 Andet arbejde med databaser og netværk</v>
      </c>
      <c r="V150" t="str">
        <f t="shared" si="8"/>
        <v xml:space="preserve"> </v>
      </c>
    </row>
    <row r="151" spans="12:22" x14ac:dyDescent="0.2">
      <c r="L151" s="8">
        <v>261110</v>
      </c>
      <c r="M151" s="8" t="s">
        <v>211</v>
      </c>
      <c r="N151" s="14" t="str">
        <f t="shared" si="7"/>
        <v>261110 Advokatarbejde</v>
      </c>
      <c r="V151" t="str">
        <f t="shared" si="8"/>
        <v xml:space="preserve"> </v>
      </c>
    </row>
    <row r="152" spans="12:22" x14ac:dyDescent="0.2">
      <c r="L152" s="8">
        <v>261120</v>
      </c>
      <c r="M152" s="8" t="s">
        <v>212</v>
      </c>
      <c r="N152" s="14" t="str">
        <f t="shared" si="7"/>
        <v>261120 Advokatfuldmægtigarbejde</v>
      </c>
      <c r="V152" t="str">
        <f t="shared" si="8"/>
        <v xml:space="preserve"> </v>
      </c>
    </row>
    <row r="153" spans="12:22" x14ac:dyDescent="0.2">
      <c r="L153" s="8">
        <v>261200</v>
      </c>
      <c r="M153" s="8" t="s">
        <v>213</v>
      </c>
      <c r="N153" s="14" t="str">
        <f t="shared" si="7"/>
        <v>261200 Dommerarbejde</v>
      </c>
      <c r="V153" t="str">
        <f t="shared" si="8"/>
        <v xml:space="preserve"> </v>
      </c>
    </row>
    <row r="154" spans="12:22" x14ac:dyDescent="0.2">
      <c r="L154" s="8">
        <v>261900</v>
      </c>
      <c r="M154" s="8" t="s">
        <v>214</v>
      </c>
      <c r="N154" s="14" t="str">
        <f t="shared" si="7"/>
        <v>261900 Andet juridisk arbejde</v>
      </c>
      <c r="V154" t="str">
        <f t="shared" si="8"/>
        <v xml:space="preserve"> </v>
      </c>
    </row>
    <row r="155" spans="12:22" x14ac:dyDescent="0.2">
      <c r="L155" s="8">
        <v>262100</v>
      </c>
      <c r="M155" s="8" t="s">
        <v>215</v>
      </c>
      <c r="N155" s="14" t="str">
        <f t="shared" si="7"/>
        <v>262100 Arkivar- og museumsinspektørarbejde</v>
      </c>
      <c r="V155" t="str">
        <f t="shared" si="8"/>
        <v xml:space="preserve"> </v>
      </c>
    </row>
    <row r="156" spans="12:22" x14ac:dyDescent="0.2">
      <c r="L156" s="8">
        <v>262200</v>
      </c>
      <c r="M156" s="8" t="s">
        <v>216</v>
      </c>
      <c r="N156" s="14" t="str">
        <f t="shared" si="7"/>
        <v>262200 Bibliotekararbejde og andet informationsarbejde</v>
      </c>
      <c r="V156" t="str">
        <f t="shared" si="8"/>
        <v xml:space="preserve"> </v>
      </c>
    </row>
    <row r="157" spans="12:22" x14ac:dyDescent="0.2">
      <c r="L157" s="8">
        <v>263100</v>
      </c>
      <c r="M157" s="8" t="s">
        <v>217</v>
      </c>
      <c r="N157" s="14" t="str">
        <f t="shared" si="7"/>
        <v>263100 Arbejde inden for samfundsøkonomi</v>
      </c>
      <c r="V157" t="str">
        <f t="shared" si="8"/>
        <v xml:space="preserve"> </v>
      </c>
    </row>
    <row r="158" spans="12:22" x14ac:dyDescent="0.2">
      <c r="L158" s="8">
        <v>263200</v>
      </c>
      <c r="M158" s="8" t="s">
        <v>218</v>
      </c>
      <c r="N158" s="14" t="str">
        <f t="shared" si="7"/>
        <v>263200 Arbejde inden for sociologi, antropologi og beslægtede områder</v>
      </c>
      <c r="V158" t="str">
        <f t="shared" si="8"/>
        <v xml:space="preserve"> </v>
      </c>
    </row>
    <row r="159" spans="12:22" x14ac:dyDescent="0.2">
      <c r="L159" s="8">
        <v>263300</v>
      </c>
      <c r="M159" s="8" t="s">
        <v>219</v>
      </c>
      <c r="N159" s="14" t="str">
        <f t="shared" si="7"/>
        <v>263300 Arbejde inden for filosofi, historie og statskundskab</v>
      </c>
      <c r="V159" t="str">
        <f t="shared" si="8"/>
        <v xml:space="preserve"> </v>
      </c>
    </row>
    <row r="160" spans="12:22" x14ac:dyDescent="0.2">
      <c r="L160" s="8">
        <v>263400</v>
      </c>
      <c r="M160" s="8" t="s">
        <v>220</v>
      </c>
      <c r="N160" s="14" t="str">
        <f t="shared" si="7"/>
        <v>263400 Arbejde inden for psykologi</v>
      </c>
      <c r="V160" t="str">
        <f t="shared" si="8"/>
        <v xml:space="preserve"> </v>
      </c>
    </row>
    <row r="161" spans="12:22" x14ac:dyDescent="0.2">
      <c r="L161" s="8">
        <v>263500</v>
      </c>
      <c r="M161" s="8" t="s">
        <v>221</v>
      </c>
      <c r="N161" s="14" t="str">
        <f t="shared" si="7"/>
        <v>263500 Socialrådgivningsarbejde</v>
      </c>
      <c r="V161" t="str">
        <f t="shared" si="8"/>
        <v xml:space="preserve"> </v>
      </c>
    </row>
    <row r="162" spans="12:22" x14ac:dyDescent="0.2">
      <c r="L162" s="8">
        <v>263600</v>
      </c>
      <c r="M162" s="8" t="s">
        <v>222</v>
      </c>
      <c r="N162" s="14" t="str">
        <f t="shared" si="7"/>
        <v>263600 Arbejde inden for religion</v>
      </c>
      <c r="V162" t="str">
        <f t="shared" si="8"/>
        <v xml:space="preserve"> </v>
      </c>
    </row>
    <row r="163" spans="12:22" x14ac:dyDescent="0.2">
      <c r="L163" s="8">
        <v>264100</v>
      </c>
      <c r="M163" s="8" t="s">
        <v>223</v>
      </c>
      <c r="N163" s="14" t="str">
        <f t="shared" si="7"/>
        <v>264100 Forfatterarbejde</v>
      </c>
      <c r="V163" t="str">
        <f t="shared" si="8"/>
        <v xml:space="preserve"> </v>
      </c>
    </row>
    <row r="164" spans="12:22" x14ac:dyDescent="0.2">
      <c r="L164" s="8">
        <v>264200</v>
      </c>
      <c r="M164" s="8" t="s">
        <v>224</v>
      </c>
      <c r="N164" s="14" t="str">
        <f t="shared" si="7"/>
        <v>264200 Journalistisk arbejde</v>
      </c>
      <c r="V164" t="str">
        <f t="shared" si="8"/>
        <v xml:space="preserve"> </v>
      </c>
    </row>
    <row r="165" spans="12:22" x14ac:dyDescent="0.2">
      <c r="L165" s="8">
        <v>264310</v>
      </c>
      <c r="M165" s="8" t="s">
        <v>225</v>
      </c>
      <c r="N165" s="14" t="str">
        <f t="shared" si="7"/>
        <v>264310 Translatørarbejde</v>
      </c>
      <c r="V165" t="str">
        <f t="shared" si="8"/>
        <v xml:space="preserve"> </v>
      </c>
    </row>
    <row r="166" spans="12:22" x14ac:dyDescent="0.2">
      <c r="L166" s="8">
        <v>264320</v>
      </c>
      <c r="M166" s="8" t="s">
        <v>226</v>
      </c>
      <c r="N166" s="14" t="str">
        <f t="shared" si="7"/>
        <v>264320 Tolkearbejde</v>
      </c>
      <c r="V166" t="str">
        <f t="shared" si="8"/>
        <v xml:space="preserve"> </v>
      </c>
    </row>
    <row r="167" spans="12:22" x14ac:dyDescent="0.2">
      <c r="L167" s="8">
        <v>264390</v>
      </c>
      <c r="M167" s="8" t="s">
        <v>227</v>
      </c>
      <c r="N167" s="14" t="str">
        <f t="shared" si="7"/>
        <v>264390 Andet sprogvidenskabeligt arbejde</v>
      </c>
      <c r="V167" t="str">
        <f t="shared" si="8"/>
        <v xml:space="preserve"> </v>
      </c>
    </row>
    <row r="168" spans="12:22" x14ac:dyDescent="0.2">
      <c r="L168" s="8">
        <v>265100</v>
      </c>
      <c r="M168" s="8" t="s">
        <v>228</v>
      </c>
      <c r="N168" s="14" t="str">
        <f t="shared" si="7"/>
        <v>265100 Kunstnerisk arbejde inden for visuelle kunstarter</v>
      </c>
      <c r="V168" t="str">
        <f t="shared" si="8"/>
        <v xml:space="preserve"> </v>
      </c>
    </row>
    <row r="169" spans="12:22" x14ac:dyDescent="0.2">
      <c r="L169" s="8">
        <v>265200</v>
      </c>
      <c r="M169" s="8" t="s">
        <v>229</v>
      </c>
      <c r="N169" s="14" t="str">
        <f t="shared" si="7"/>
        <v>265200 Kunstnerisk arbejde inden for musik og sang</v>
      </c>
      <c r="V169" t="str">
        <f t="shared" si="8"/>
        <v xml:space="preserve"> </v>
      </c>
    </row>
    <row r="170" spans="12:22" x14ac:dyDescent="0.2">
      <c r="L170" s="8">
        <v>265300</v>
      </c>
      <c r="M170" s="8" t="s">
        <v>230</v>
      </c>
      <c r="N170" s="14" t="str">
        <f t="shared" si="7"/>
        <v>265300 Kunstnerisk arbejde inden for dans og koreografi</v>
      </c>
      <c r="V170" t="str">
        <f t="shared" si="8"/>
        <v xml:space="preserve"> </v>
      </c>
    </row>
    <row r="171" spans="12:22" x14ac:dyDescent="0.2">
      <c r="L171" s="8">
        <v>265400</v>
      </c>
      <c r="M171" s="8" t="s">
        <v>231</v>
      </c>
      <c r="N171" s="14" t="str">
        <f t="shared" si="7"/>
        <v>265400 Arbejde med instruktion og produktion af film, teater og beslægtede funktioner</v>
      </c>
      <c r="V171" t="str">
        <f t="shared" si="8"/>
        <v xml:space="preserve"> </v>
      </c>
    </row>
    <row r="172" spans="12:22" x14ac:dyDescent="0.2">
      <c r="L172" s="8">
        <v>265500</v>
      </c>
      <c r="M172" s="8" t="s">
        <v>232</v>
      </c>
      <c r="N172" s="14" t="str">
        <f t="shared" si="7"/>
        <v>265500 Skuespilarbejde</v>
      </c>
      <c r="V172" t="str">
        <f t="shared" si="8"/>
        <v xml:space="preserve"> </v>
      </c>
    </row>
    <row r="173" spans="12:22" x14ac:dyDescent="0.2">
      <c r="L173" s="8">
        <v>265600</v>
      </c>
      <c r="M173" s="8" t="s">
        <v>233</v>
      </c>
      <c r="N173" s="14" t="str">
        <f t="shared" si="7"/>
        <v>265600 Speakerarbejde på radio, TV og andre medier</v>
      </c>
      <c r="V173" t="str">
        <f t="shared" si="8"/>
        <v xml:space="preserve"> </v>
      </c>
    </row>
    <row r="174" spans="12:22" x14ac:dyDescent="0.2">
      <c r="L174" s="8">
        <v>265900</v>
      </c>
      <c r="M174" s="8" t="s">
        <v>234</v>
      </c>
      <c r="N174" s="14" t="str">
        <f t="shared" si="7"/>
        <v>265900 Andet arbejde med kunst og kreative fag</v>
      </c>
      <c r="V174" t="str">
        <f t="shared" si="8"/>
        <v xml:space="preserve"> </v>
      </c>
    </row>
    <row r="175" spans="12:22" x14ac:dyDescent="0.2">
      <c r="L175" s="8">
        <v>311110</v>
      </c>
      <c r="M175" s="8" t="s">
        <v>235</v>
      </c>
      <c r="N175" s="14" t="str">
        <f t="shared" si="7"/>
        <v>311110 Laborantarbejde</v>
      </c>
      <c r="V175" t="str">
        <f t="shared" si="8"/>
        <v xml:space="preserve"> </v>
      </c>
    </row>
    <row r="176" spans="12:22" x14ac:dyDescent="0.2">
      <c r="L176" s="8">
        <v>311120</v>
      </c>
      <c r="M176" s="8" t="s">
        <v>236</v>
      </c>
      <c r="N176" s="14" t="str">
        <f t="shared" si="7"/>
        <v>311120 Assistentarbejde i laboratorier</v>
      </c>
      <c r="V176" t="str">
        <f t="shared" si="8"/>
        <v xml:space="preserve"> </v>
      </c>
    </row>
    <row r="177" spans="12:22" x14ac:dyDescent="0.2">
      <c r="L177" s="8">
        <v>311130</v>
      </c>
      <c r="M177" s="8" t="s">
        <v>237</v>
      </c>
      <c r="N177" s="14" t="str">
        <f t="shared" si="7"/>
        <v>311130 Laboratorieteknikerarbejde</v>
      </c>
      <c r="V177" t="str">
        <f t="shared" si="8"/>
        <v xml:space="preserve"> </v>
      </c>
    </row>
    <row r="178" spans="12:22" x14ac:dyDescent="0.2">
      <c r="L178" s="8">
        <v>311140</v>
      </c>
      <c r="M178" s="8" t="s">
        <v>238</v>
      </c>
      <c r="N178" s="14" t="str">
        <f t="shared" si="7"/>
        <v>311140 Teknikerarbejde inden for geologi, meteorologi og astronomi</v>
      </c>
      <c r="V178" t="str">
        <f t="shared" si="8"/>
        <v xml:space="preserve"> </v>
      </c>
    </row>
    <row r="179" spans="12:22" x14ac:dyDescent="0.2">
      <c r="L179" s="8">
        <v>311200</v>
      </c>
      <c r="M179" s="8" t="s">
        <v>239</v>
      </c>
      <c r="N179" s="14" t="str">
        <f t="shared" si="7"/>
        <v>311200 Teknikerarbejde inden for byggeri- og anlæg</v>
      </c>
      <c r="V179" t="str">
        <f t="shared" si="8"/>
        <v xml:space="preserve"> </v>
      </c>
    </row>
    <row r="180" spans="12:22" x14ac:dyDescent="0.2">
      <c r="L180" s="8">
        <v>311300</v>
      </c>
      <c r="M180" s="8" t="s">
        <v>240</v>
      </c>
      <c r="N180" s="14" t="str">
        <f t="shared" si="7"/>
        <v>311300 Teknikerarbejde inden for det elektriske område</v>
      </c>
      <c r="V180" t="str">
        <f t="shared" si="8"/>
        <v xml:space="preserve"> </v>
      </c>
    </row>
    <row r="181" spans="12:22" x14ac:dyDescent="0.2">
      <c r="L181" s="8">
        <v>311400</v>
      </c>
      <c r="M181" s="8" t="s">
        <v>241</v>
      </c>
      <c r="N181" s="14" t="str">
        <f t="shared" si="7"/>
        <v>311400 Teknikerarbejde inden for det elektronisk område</v>
      </c>
      <c r="V181" t="str">
        <f t="shared" si="8"/>
        <v xml:space="preserve"> </v>
      </c>
    </row>
    <row r="182" spans="12:22" x14ac:dyDescent="0.2">
      <c r="L182" s="8">
        <v>311510</v>
      </c>
      <c r="M182" s="8" t="s">
        <v>242</v>
      </c>
      <c r="N182" s="14" t="str">
        <f t="shared" si="7"/>
        <v>311510 Teknikerarbejde inden for VVS</v>
      </c>
      <c r="V182" t="str">
        <f t="shared" si="8"/>
        <v xml:space="preserve"> </v>
      </c>
    </row>
    <row r="183" spans="12:22" x14ac:dyDescent="0.2">
      <c r="L183" s="8">
        <v>311590</v>
      </c>
      <c r="M183" s="8" t="s">
        <v>243</v>
      </c>
      <c r="N183" s="14" t="str">
        <f t="shared" si="7"/>
        <v>311590 Teknikerarbejde inden for andre mekaniske områder</v>
      </c>
      <c r="V183" t="str">
        <f t="shared" si="8"/>
        <v xml:space="preserve"> </v>
      </c>
    </row>
    <row r="184" spans="12:22" x14ac:dyDescent="0.2">
      <c r="L184" s="8">
        <v>311600</v>
      </c>
      <c r="M184" s="8" t="s">
        <v>244</v>
      </c>
      <c r="N184" s="14" t="str">
        <f t="shared" si="7"/>
        <v>311600 Teknikerarbejde inden for det kemiske område</v>
      </c>
      <c r="V184" t="str">
        <f t="shared" si="8"/>
        <v xml:space="preserve"> </v>
      </c>
    </row>
    <row r="185" spans="12:22" x14ac:dyDescent="0.2">
      <c r="L185" s="8">
        <v>311700</v>
      </c>
      <c r="M185" s="8" t="s">
        <v>245</v>
      </c>
      <c r="N185" s="14" t="str">
        <f t="shared" si="7"/>
        <v>311700 Teknikerarbejde inden for minedrift og metallurgi</v>
      </c>
      <c r="V185" t="str">
        <f t="shared" si="8"/>
        <v xml:space="preserve"> </v>
      </c>
    </row>
    <row r="186" spans="12:22" x14ac:dyDescent="0.2">
      <c r="L186" s="8">
        <v>311800</v>
      </c>
      <c r="M186" s="8" t="s">
        <v>246</v>
      </c>
      <c r="N186" s="14" t="str">
        <f t="shared" si="7"/>
        <v>311800 Teknisk tegnearbejde</v>
      </c>
      <c r="V186" t="str">
        <f t="shared" si="8"/>
        <v xml:space="preserve"> </v>
      </c>
    </row>
    <row r="187" spans="12:22" x14ac:dyDescent="0.2">
      <c r="L187" s="8">
        <v>311900</v>
      </c>
      <c r="M187" s="8" t="s">
        <v>247</v>
      </c>
      <c r="N187" s="14" t="str">
        <f t="shared" si="7"/>
        <v>311900 Andet teknikerarbejde inden for fysisk videnskab og ingeniørvirksomhed</v>
      </c>
      <c r="V187" t="str">
        <f t="shared" si="8"/>
        <v xml:space="preserve"> </v>
      </c>
    </row>
    <row r="188" spans="12:22" x14ac:dyDescent="0.2">
      <c r="L188" s="8">
        <v>313100</v>
      </c>
      <c r="M188" s="8" t="s">
        <v>248</v>
      </c>
      <c r="N188" s="14" t="str">
        <f t="shared" si="7"/>
        <v>313100 Teknisk kontrolarbejde på kraftværker</v>
      </c>
      <c r="V188" t="str">
        <f t="shared" si="8"/>
        <v xml:space="preserve"> </v>
      </c>
    </row>
    <row r="189" spans="12:22" x14ac:dyDescent="0.2">
      <c r="L189" s="8">
        <v>313200</v>
      </c>
      <c r="M189" s="8" t="s">
        <v>249</v>
      </c>
      <c r="N189" s="14" t="str">
        <f t="shared" si="7"/>
        <v>313200 Teknisk kontrolarbejde på forbrændings- og vandrensningsanlæg</v>
      </c>
      <c r="V189" t="str">
        <f t="shared" si="8"/>
        <v xml:space="preserve"> </v>
      </c>
    </row>
    <row r="190" spans="12:22" x14ac:dyDescent="0.2">
      <c r="L190" s="8">
        <v>313300</v>
      </c>
      <c r="M190" s="8" t="s">
        <v>250</v>
      </c>
      <c r="N190" s="14" t="str">
        <f t="shared" si="7"/>
        <v>313300 Teknisk kontrolarbejde på kemiske behandlingsanlæg</v>
      </c>
      <c r="V190" t="str">
        <f t="shared" si="8"/>
        <v xml:space="preserve"> </v>
      </c>
    </row>
    <row r="191" spans="12:22" x14ac:dyDescent="0.2">
      <c r="L191" s="8">
        <v>313400</v>
      </c>
      <c r="M191" s="8" t="s">
        <v>251</v>
      </c>
      <c r="N191" s="14" t="str">
        <f t="shared" si="7"/>
        <v>313400 Teknisk kontrolarbejde på olie- og naturgasraffinaderier</v>
      </c>
      <c r="V191" t="str">
        <f t="shared" si="8"/>
        <v xml:space="preserve"> </v>
      </c>
    </row>
    <row r="192" spans="12:22" x14ac:dyDescent="0.2">
      <c r="L192" s="8">
        <v>313500</v>
      </c>
      <c r="M192" s="8" t="s">
        <v>252</v>
      </c>
      <c r="N192" s="14" t="str">
        <f t="shared" si="7"/>
        <v>313500 Teknisk kontrolarbejde ved metalproduktion</v>
      </c>
      <c r="V192" t="str">
        <f t="shared" si="8"/>
        <v xml:space="preserve"> </v>
      </c>
    </row>
    <row r="193" spans="12:22" x14ac:dyDescent="0.2">
      <c r="L193" s="8">
        <v>313900</v>
      </c>
      <c r="M193" s="8" t="s">
        <v>253</v>
      </c>
      <c r="N193" s="14" t="str">
        <f t="shared" si="7"/>
        <v>313900 Andet teknisk kontrolarbejde inden for processtyring</v>
      </c>
      <c r="V193" t="str">
        <f t="shared" si="8"/>
        <v xml:space="preserve"> </v>
      </c>
    </row>
    <row r="194" spans="12:22" x14ac:dyDescent="0.2">
      <c r="L194" s="8">
        <v>314100</v>
      </c>
      <c r="M194" s="8" t="s">
        <v>254</v>
      </c>
      <c r="N194" s="14" t="str">
        <f t="shared" si="7"/>
        <v>314100 Teknikerarbejde inden for biovidenskab (undtagen medicinsk område)</v>
      </c>
      <c r="V194" t="str">
        <f t="shared" si="8"/>
        <v xml:space="preserve"> </v>
      </c>
    </row>
    <row r="195" spans="12:22" x14ac:dyDescent="0.2">
      <c r="L195" s="8">
        <v>314200</v>
      </c>
      <c r="M195" s="8" t="s">
        <v>255</v>
      </c>
      <c r="N195" s="14" t="str">
        <f t="shared" ref="N195:N258" si="9">L195&amp;" "&amp;M195</f>
        <v>314200 Landbrugsteknikerarbejde</v>
      </c>
      <c r="V195" t="str">
        <f t="shared" ref="V195:V258" si="10">CONCATENATE(T194," ",U194)</f>
        <v xml:space="preserve"> </v>
      </c>
    </row>
    <row r="196" spans="12:22" x14ac:dyDescent="0.2">
      <c r="L196" s="8">
        <v>314300</v>
      </c>
      <c r="M196" s="8" t="s">
        <v>256</v>
      </c>
      <c r="N196" s="14" t="str">
        <f t="shared" si="9"/>
        <v>314300 Skovbrugsteknikerarbejde</v>
      </c>
      <c r="V196" t="str">
        <f t="shared" si="10"/>
        <v xml:space="preserve"> </v>
      </c>
    </row>
    <row r="197" spans="12:22" x14ac:dyDescent="0.2">
      <c r="L197" s="8">
        <v>315100</v>
      </c>
      <c r="M197" s="8" t="s">
        <v>257</v>
      </c>
      <c r="N197" s="14" t="str">
        <f t="shared" si="9"/>
        <v>315100 Teknikerarbejde inden for skibsfart</v>
      </c>
      <c r="V197" t="str">
        <f t="shared" si="10"/>
        <v xml:space="preserve"> </v>
      </c>
    </row>
    <row r="198" spans="12:22" x14ac:dyDescent="0.2">
      <c r="L198" s="8">
        <v>315200</v>
      </c>
      <c r="M198" s="8" t="s">
        <v>258</v>
      </c>
      <c r="N198" s="14" t="str">
        <f t="shared" si="9"/>
        <v>315200 Skibsførerarbejde</v>
      </c>
      <c r="V198" t="str">
        <f t="shared" si="10"/>
        <v xml:space="preserve"> </v>
      </c>
    </row>
    <row r="199" spans="12:22" x14ac:dyDescent="0.2">
      <c r="L199" s="8">
        <v>315300</v>
      </c>
      <c r="M199" s="8" t="s">
        <v>259</v>
      </c>
      <c r="N199" s="14" t="str">
        <f t="shared" si="9"/>
        <v>315300 Flypilotarbejde</v>
      </c>
      <c r="V199" t="str">
        <f t="shared" si="10"/>
        <v xml:space="preserve"> </v>
      </c>
    </row>
    <row r="200" spans="12:22" x14ac:dyDescent="0.2">
      <c r="L200" s="8">
        <v>315410</v>
      </c>
      <c r="M200" s="8" t="s">
        <v>260</v>
      </c>
      <c r="N200" s="14" t="str">
        <f t="shared" si="9"/>
        <v>315410 Flyvelederarbejde</v>
      </c>
      <c r="V200" t="str">
        <f t="shared" si="10"/>
        <v xml:space="preserve"> </v>
      </c>
    </row>
    <row r="201" spans="12:22" x14ac:dyDescent="0.2">
      <c r="L201" s="8">
        <v>315420</v>
      </c>
      <c r="M201" s="8" t="s">
        <v>261</v>
      </c>
      <c r="N201" s="14" t="str">
        <f t="shared" si="9"/>
        <v>315420 Planlægning og afvikling af flytrafik i øvrigt</v>
      </c>
      <c r="V201" t="str">
        <f t="shared" si="10"/>
        <v xml:space="preserve"> </v>
      </c>
    </row>
    <row r="202" spans="12:22" x14ac:dyDescent="0.2">
      <c r="L202" s="8">
        <v>315500</v>
      </c>
      <c r="M202" s="8" t="s">
        <v>262</v>
      </c>
      <c r="N202" s="14" t="str">
        <f t="shared" si="9"/>
        <v>315500 Teknikerarbejde inden for luftfartssikkerhed</v>
      </c>
      <c r="V202" t="str">
        <f t="shared" si="10"/>
        <v xml:space="preserve"> </v>
      </c>
    </row>
    <row r="203" spans="12:22" x14ac:dyDescent="0.2">
      <c r="L203" s="8">
        <v>321100</v>
      </c>
      <c r="M203" s="8" t="s">
        <v>263</v>
      </c>
      <c r="N203" s="14" t="str">
        <f t="shared" si="9"/>
        <v>321100 Teknikerarbejde inden for brug af medicinsk røntgen- og behandlingsudstyr</v>
      </c>
      <c r="V203" t="str">
        <f t="shared" si="10"/>
        <v xml:space="preserve"> </v>
      </c>
    </row>
    <row r="204" spans="12:22" x14ac:dyDescent="0.2">
      <c r="L204" s="8">
        <v>321210</v>
      </c>
      <c r="M204" s="8" t="s">
        <v>264</v>
      </c>
      <c r="N204" s="14" t="str">
        <f t="shared" si="9"/>
        <v>321210 Bioanalytikerarbejde, basisfunktioner</v>
      </c>
      <c r="V204" t="str">
        <f t="shared" si="10"/>
        <v xml:space="preserve"> </v>
      </c>
    </row>
    <row r="205" spans="12:22" x14ac:dyDescent="0.2">
      <c r="L205" s="8">
        <v>321220</v>
      </c>
      <c r="M205" s="8" t="s">
        <v>265</v>
      </c>
      <c r="N205" s="14" t="str">
        <f t="shared" si="9"/>
        <v>321220 Bioanalytikerarbejde, specialfunktioner</v>
      </c>
      <c r="V205" t="str">
        <f t="shared" si="10"/>
        <v xml:space="preserve"> </v>
      </c>
    </row>
    <row r="206" spans="12:22" x14ac:dyDescent="0.2">
      <c r="L206" s="8">
        <v>321230</v>
      </c>
      <c r="M206" s="8" t="s">
        <v>266</v>
      </c>
      <c r="N206" s="14" t="str">
        <f t="shared" si="9"/>
        <v>321230 Laborantarbejde på sygehuslaboratorier</v>
      </c>
      <c r="V206" t="str">
        <f t="shared" si="10"/>
        <v xml:space="preserve"> </v>
      </c>
    </row>
    <row r="207" spans="12:22" x14ac:dyDescent="0.2">
      <c r="L207" s="8">
        <v>321290</v>
      </c>
      <c r="M207" s="8" t="s">
        <v>267</v>
      </c>
      <c r="N207" s="14" t="str">
        <f t="shared" si="9"/>
        <v>321290 Andet teknikerarbejde i medicinske og patologiske laboratorier</v>
      </c>
      <c r="V207" t="str">
        <f t="shared" si="10"/>
        <v xml:space="preserve"> </v>
      </c>
    </row>
    <row r="208" spans="12:22" x14ac:dyDescent="0.2">
      <c r="L208" s="8">
        <v>321310</v>
      </c>
      <c r="M208" s="8" t="s">
        <v>268</v>
      </c>
      <c r="N208" s="14" t="str">
        <f t="shared" si="9"/>
        <v>321310 Farmakonomarbejde</v>
      </c>
      <c r="V208" t="str">
        <f t="shared" si="10"/>
        <v xml:space="preserve"> </v>
      </c>
    </row>
    <row r="209" spans="12:22" x14ac:dyDescent="0.2">
      <c r="L209" s="8">
        <v>321390</v>
      </c>
      <c r="M209" s="8" t="s">
        <v>269</v>
      </c>
      <c r="N209" s="14" t="str">
        <f t="shared" si="9"/>
        <v>321390 Andet arbejde inden for farmaci</v>
      </c>
      <c r="V209" t="str">
        <f t="shared" si="10"/>
        <v xml:space="preserve"> </v>
      </c>
    </row>
    <row r="210" spans="12:22" x14ac:dyDescent="0.2">
      <c r="L210" s="8">
        <v>321400</v>
      </c>
      <c r="M210" s="8" t="s">
        <v>270</v>
      </c>
      <c r="N210" s="14" t="str">
        <f t="shared" si="9"/>
        <v>321400 Teknikerarbejde inden for fremstilling af proteser</v>
      </c>
      <c r="V210" t="str">
        <f t="shared" si="10"/>
        <v xml:space="preserve"> </v>
      </c>
    </row>
    <row r="211" spans="12:22" x14ac:dyDescent="0.2">
      <c r="L211" s="8">
        <v>322100</v>
      </c>
      <c r="M211" s="8" t="s">
        <v>271</v>
      </c>
      <c r="N211" s="14" t="str">
        <f t="shared" si="9"/>
        <v>322100 Assisterende arbejde inden for sygepleje</v>
      </c>
      <c r="V211" t="str">
        <f t="shared" si="10"/>
        <v xml:space="preserve"> </v>
      </c>
    </row>
    <row r="212" spans="12:22" x14ac:dyDescent="0.2">
      <c r="L212" s="8">
        <v>322200</v>
      </c>
      <c r="M212" s="8" t="s">
        <v>272</v>
      </c>
      <c r="N212" s="14" t="str">
        <f t="shared" si="9"/>
        <v>322200 Assisterende arbejde inden for fødselshjælp</v>
      </c>
      <c r="V212" t="str">
        <f t="shared" si="10"/>
        <v xml:space="preserve"> </v>
      </c>
    </row>
    <row r="213" spans="12:22" x14ac:dyDescent="0.2">
      <c r="L213" s="8">
        <v>323000</v>
      </c>
      <c r="M213" s="8" t="s">
        <v>273</v>
      </c>
      <c r="N213" s="14" t="str">
        <f t="shared" si="9"/>
        <v>323000 Assisterende arbejde inden for naturmedicin og alternativ behandling</v>
      </c>
      <c r="V213" t="str">
        <f t="shared" si="10"/>
        <v xml:space="preserve"> </v>
      </c>
    </row>
    <row r="214" spans="12:22" x14ac:dyDescent="0.2">
      <c r="L214" s="8">
        <v>324000</v>
      </c>
      <c r="M214" s="8" t="s">
        <v>274</v>
      </c>
      <c r="N214" s="14" t="str">
        <f t="shared" si="9"/>
        <v>324000 Assisterende veterinærarbejde og veterinærteknisk arbejde</v>
      </c>
      <c r="V214" t="str">
        <f t="shared" si="10"/>
        <v xml:space="preserve"> </v>
      </c>
    </row>
    <row r="215" spans="12:22" x14ac:dyDescent="0.2">
      <c r="L215" s="8">
        <v>325110</v>
      </c>
      <c r="M215" s="8" t="s">
        <v>275</v>
      </c>
      <c r="N215" s="14" t="str">
        <f t="shared" si="9"/>
        <v>325110 Tandklinikassistentarbejde</v>
      </c>
      <c r="V215" t="str">
        <f t="shared" si="10"/>
        <v xml:space="preserve"> </v>
      </c>
    </row>
    <row r="216" spans="12:22" x14ac:dyDescent="0.2">
      <c r="L216" s="8">
        <v>325120</v>
      </c>
      <c r="M216" s="8" t="s">
        <v>276</v>
      </c>
      <c r="N216" s="14" t="str">
        <f t="shared" si="9"/>
        <v>325120 Tandplejerarbejde</v>
      </c>
      <c r="V216" t="str">
        <f t="shared" si="10"/>
        <v xml:space="preserve"> </v>
      </c>
    </row>
    <row r="217" spans="12:22" x14ac:dyDescent="0.2">
      <c r="L217" s="8">
        <v>325200</v>
      </c>
      <c r="M217" s="8" t="s">
        <v>277</v>
      </c>
      <c r="N217" s="14" t="str">
        <f t="shared" si="9"/>
        <v>325200 Teknikerarbejde inden for medicinsk registrering og sundhedsinformation</v>
      </c>
      <c r="V217" t="str">
        <f t="shared" si="10"/>
        <v xml:space="preserve"> </v>
      </c>
    </row>
    <row r="218" spans="12:22" x14ac:dyDescent="0.2">
      <c r="L218" s="8">
        <v>325300</v>
      </c>
      <c r="M218" s="8" t="s">
        <v>278</v>
      </c>
      <c r="N218" s="14" t="str">
        <f t="shared" si="9"/>
        <v>325300 Assisterende sundhedsarbejde ved lokale/akutte behandlingscentre</v>
      </c>
      <c r="V218" t="str">
        <f t="shared" si="10"/>
        <v xml:space="preserve"> </v>
      </c>
    </row>
    <row r="219" spans="12:22" x14ac:dyDescent="0.2">
      <c r="L219" s="8">
        <v>325400</v>
      </c>
      <c r="M219" s="8" t="s">
        <v>279</v>
      </c>
      <c r="N219" s="14" t="str">
        <f t="shared" si="9"/>
        <v>325400 Teknikerarbejde inden for fremstilling af synshjælpemidler</v>
      </c>
      <c r="V219" t="str">
        <f t="shared" si="10"/>
        <v xml:space="preserve"> </v>
      </c>
    </row>
    <row r="220" spans="12:22" x14ac:dyDescent="0.2">
      <c r="L220" s="8">
        <v>325500</v>
      </c>
      <c r="M220" s="8" t="s">
        <v>280</v>
      </c>
      <c r="N220" s="14" t="str">
        <f t="shared" si="9"/>
        <v>325500 Assisterende arbejde inden for fysioterapi</v>
      </c>
      <c r="V220" t="str">
        <f t="shared" si="10"/>
        <v xml:space="preserve"> </v>
      </c>
    </row>
    <row r="221" spans="12:22" x14ac:dyDescent="0.2">
      <c r="L221" s="8">
        <v>325600</v>
      </c>
      <c r="M221" s="8" t="s">
        <v>281</v>
      </c>
      <c r="N221" s="14" t="str">
        <f t="shared" si="9"/>
        <v>325600 Assisterende arbejde inden for sundhedsområdet</v>
      </c>
      <c r="V221" t="str">
        <f t="shared" si="10"/>
        <v xml:space="preserve"> </v>
      </c>
    </row>
    <row r="222" spans="12:22" x14ac:dyDescent="0.2">
      <c r="L222" s="8">
        <v>325710</v>
      </c>
      <c r="M222" s="8" t="s">
        <v>282</v>
      </c>
      <c r="N222" s="14" t="str">
        <f t="shared" si="9"/>
        <v>325710 Kontrolarbejde vedr. arbejdsmiljø</v>
      </c>
      <c r="V222" t="str">
        <f t="shared" si="10"/>
        <v xml:space="preserve"> </v>
      </c>
    </row>
    <row r="223" spans="12:22" x14ac:dyDescent="0.2">
      <c r="L223" s="8">
        <v>325720</v>
      </c>
      <c r="M223" s="8" t="s">
        <v>283</v>
      </c>
      <c r="N223" s="14" t="str">
        <f t="shared" si="9"/>
        <v>325720 Kontrolarbejde vedr. sikkerhed</v>
      </c>
      <c r="V223" t="str">
        <f t="shared" si="10"/>
        <v xml:space="preserve"> </v>
      </c>
    </row>
    <row r="224" spans="12:22" x14ac:dyDescent="0.2">
      <c r="L224" s="8">
        <v>325730</v>
      </c>
      <c r="M224" s="8" t="s">
        <v>284</v>
      </c>
      <c r="N224" s="14" t="str">
        <f t="shared" si="9"/>
        <v>325730 Assistentarbejde og rådgivning vedr. hygiejne og miljøteknisk arbejde</v>
      </c>
      <c r="V224" t="str">
        <f t="shared" si="10"/>
        <v xml:space="preserve"> </v>
      </c>
    </row>
    <row r="225" spans="12:22" x14ac:dyDescent="0.2">
      <c r="L225" s="8">
        <v>325800</v>
      </c>
      <c r="M225" s="8" t="s">
        <v>285</v>
      </c>
      <c r="N225" s="14" t="str">
        <f t="shared" si="9"/>
        <v>325800 Redningsarbejde (Ambulancebehandler)</v>
      </c>
      <c r="V225" t="str">
        <f t="shared" si="10"/>
        <v xml:space="preserve"> </v>
      </c>
    </row>
    <row r="226" spans="12:22" x14ac:dyDescent="0.2">
      <c r="L226" s="8">
        <v>325900</v>
      </c>
      <c r="M226" s="8" t="s">
        <v>286</v>
      </c>
      <c r="N226" s="14" t="str">
        <f t="shared" si="9"/>
        <v>325900 Tekniker- og assistentarbejde inden for sundhedsområdet ikke klassificeret andetsteds</v>
      </c>
      <c r="V226" t="str">
        <f t="shared" si="10"/>
        <v xml:space="preserve"> </v>
      </c>
    </row>
    <row r="227" spans="12:22" x14ac:dyDescent="0.2">
      <c r="L227" s="8">
        <v>331110</v>
      </c>
      <c r="M227" s="8" t="s">
        <v>287</v>
      </c>
      <c r="N227" s="14" t="str">
        <f t="shared" si="9"/>
        <v>331110 Handel med værdipapirer og valuta</v>
      </c>
      <c r="V227" t="str">
        <f t="shared" si="10"/>
        <v xml:space="preserve"> </v>
      </c>
    </row>
    <row r="228" spans="12:22" x14ac:dyDescent="0.2">
      <c r="L228" s="8">
        <v>331120</v>
      </c>
      <c r="M228" s="8" t="s">
        <v>288</v>
      </c>
      <c r="N228" s="14" t="str">
        <f t="shared" si="9"/>
        <v>331120 Afvikling af handel med værdipapirer og valuta (back office)</v>
      </c>
      <c r="V228" t="str">
        <f t="shared" si="10"/>
        <v xml:space="preserve"> </v>
      </c>
    </row>
    <row r="229" spans="12:22" x14ac:dyDescent="0.2">
      <c r="L229" s="8">
        <v>331210</v>
      </c>
      <c r="M229" s="8" t="s">
        <v>289</v>
      </c>
      <c r="N229" s="14" t="str">
        <f t="shared" si="9"/>
        <v>331210 Arbejde med kreditbevilling og ¿analyse</v>
      </c>
      <c r="V229" t="str">
        <f t="shared" si="10"/>
        <v xml:space="preserve"> </v>
      </c>
    </row>
    <row r="230" spans="12:22" x14ac:dyDescent="0.2">
      <c r="L230" s="8">
        <v>331220</v>
      </c>
      <c r="M230" s="8" t="s">
        <v>290</v>
      </c>
      <c r="N230" s="14" t="str">
        <f t="shared" si="9"/>
        <v>331220 Arbejde med erhverskunder ¿ standardprodukter</v>
      </c>
      <c r="V230" t="str">
        <f t="shared" si="10"/>
        <v xml:space="preserve"> </v>
      </c>
    </row>
    <row r="231" spans="12:22" x14ac:dyDescent="0.2">
      <c r="L231" s="8">
        <v>331230</v>
      </c>
      <c r="M231" s="8" t="s">
        <v>291</v>
      </c>
      <c r="N231" s="14" t="str">
        <f t="shared" si="9"/>
        <v>331230 Arbejde med privatkunder ¿ standardprodukter</v>
      </c>
      <c r="V231" t="str">
        <f t="shared" si="10"/>
        <v xml:space="preserve"> </v>
      </c>
    </row>
    <row r="232" spans="12:22" x14ac:dyDescent="0.2">
      <c r="L232" s="8">
        <v>331240</v>
      </c>
      <c r="M232" s="8" t="s">
        <v>292</v>
      </c>
      <c r="N232" s="14" t="str">
        <f t="shared" si="9"/>
        <v>331240 Arbejde med både erhvervs- og privatkunder ¿ standardprodukter</v>
      </c>
      <c r="V232" t="str">
        <f t="shared" si="10"/>
        <v xml:space="preserve"> </v>
      </c>
    </row>
    <row r="233" spans="12:22" x14ac:dyDescent="0.2">
      <c r="L233" s="8">
        <v>331300</v>
      </c>
      <c r="M233" s="8" t="s">
        <v>293</v>
      </c>
      <c r="N233" s="14" t="str">
        <f t="shared" si="9"/>
        <v>331300 Regnskabsarbejde</v>
      </c>
      <c r="V233" t="str">
        <f t="shared" si="10"/>
        <v xml:space="preserve"> </v>
      </c>
    </row>
    <row r="234" spans="12:22" x14ac:dyDescent="0.2">
      <c r="L234" s="8">
        <v>331400</v>
      </c>
      <c r="M234" s="8" t="s">
        <v>294</v>
      </c>
      <c r="N234" s="14" t="str">
        <f t="shared" si="9"/>
        <v>331400 Arbejde med statistik og matematik</v>
      </c>
      <c r="V234" t="str">
        <f t="shared" si="10"/>
        <v xml:space="preserve"> </v>
      </c>
    </row>
    <row r="235" spans="12:22" x14ac:dyDescent="0.2">
      <c r="L235" s="8">
        <v>331500</v>
      </c>
      <c r="M235" s="8" t="s">
        <v>295</v>
      </c>
      <c r="N235" s="14" t="str">
        <f t="shared" si="9"/>
        <v>331500 Vurderings- og takseringsarbejde</v>
      </c>
      <c r="V235" t="str">
        <f t="shared" si="10"/>
        <v xml:space="preserve"> </v>
      </c>
    </row>
    <row r="236" spans="12:22" x14ac:dyDescent="0.2">
      <c r="L236" s="8">
        <v>332110</v>
      </c>
      <c r="M236" s="8" t="s">
        <v>296</v>
      </c>
      <c r="N236" s="14" t="str">
        <f t="shared" si="9"/>
        <v>332110 Forsikringssalgsarbejde med egen kundeportefølje</v>
      </c>
      <c r="V236" t="str">
        <f t="shared" si="10"/>
        <v xml:space="preserve"> </v>
      </c>
    </row>
    <row r="237" spans="12:22" x14ac:dyDescent="0.2">
      <c r="L237" s="8">
        <v>332120</v>
      </c>
      <c r="M237" s="8" t="s">
        <v>297</v>
      </c>
      <c r="N237" s="14" t="str">
        <f t="shared" si="9"/>
        <v>332120 Forsikringssalgsarbejde uden egen kundeportefølje</v>
      </c>
      <c r="V237" t="str">
        <f t="shared" si="10"/>
        <v xml:space="preserve"> </v>
      </c>
    </row>
    <row r="238" spans="12:22" x14ac:dyDescent="0.2">
      <c r="L238" s="8">
        <v>332130</v>
      </c>
      <c r="M238" s="8" t="s">
        <v>298</v>
      </c>
      <c r="N238" s="14" t="str">
        <f t="shared" si="9"/>
        <v>332130 Forsikringsteknisk vurdering</v>
      </c>
      <c r="V238" t="str">
        <f t="shared" si="10"/>
        <v xml:space="preserve"> </v>
      </c>
    </row>
    <row r="239" spans="12:22" x14ac:dyDescent="0.2">
      <c r="L239" s="8">
        <v>332200</v>
      </c>
      <c r="M239" s="8" t="s">
        <v>299</v>
      </c>
      <c r="N239" s="14" t="str">
        <f t="shared" si="9"/>
        <v>332200 Salgsarbejde (agenter)</v>
      </c>
      <c r="V239" t="str">
        <f t="shared" si="10"/>
        <v xml:space="preserve"> </v>
      </c>
    </row>
    <row r="240" spans="12:22" x14ac:dyDescent="0.2">
      <c r="L240" s="8">
        <v>332300</v>
      </c>
      <c r="M240" s="8" t="s">
        <v>300</v>
      </c>
      <c r="N240" s="14" t="str">
        <f t="shared" si="9"/>
        <v>332300 Indkøbsarbejde (agenter)</v>
      </c>
      <c r="V240" t="str">
        <f t="shared" si="10"/>
        <v xml:space="preserve"> </v>
      </c>
    </row>
    <row r="241" spans="12:22" x14ac:dyDescent="0.2">
      <c r="L241" s="8">
        <v>332400</v>
      </c>
      <c r="M241" s="8" t="s">
        <v>301</v>
      </c>
      <c r="N241" s="14" t="str">
        <f t="shared" si="9"/>
        <v>332400 Erhvervsmæglerarbejde</v>
      </c>
      <c r="V241" t="str">
        <f t="shared" si="10"/>
        <v xml:space="preserve"> </v>
      </c>
    </row>
    <row r="242" spans="12:22" x14ac:dyDescent="0.2">
      <c r="L242" s="8">
        <v>333110</v>
      </c>
      <c r="M242" s="8" t="s">
        <v>302</v>
      </c>
      <c r="N242" s="14" t="str">
        <f t="shared" si="9"/>
        <v>333110 Speditørarbejde vedr. land- og lufttransport</v>
      </c>
      <c r="V242" t="str">
        <f t="shared" si="10"/>
        <v xml:space="preserve"> </v>
      </c>
    </row>
    <row r="243" spans="12:22" x14ac:dyDescent="0.2">
      <c r="L243" s="8">
        <v>333120</v>
      </c>
      <c r="M243" s="8" t="s">
        <v>303</v>
      </c>
      <c r="N243" s="14" t="str">
        <f t="shared" si="9"/>
        <v>333120 Speditørarbejde vedr. skibsfart</v>
      </c>
      <c r="V243" t="str">
        <f t="shared" si="10"/>
        <v xml:space="preserve"> </v>
      </c>
    </row>
    <row r="244" spans="12:22" x14ac:dyDescent="0.2">
      <c r="L244" s="8">
        <v>333190</v>
      </c>
      <c r="M244" s="8" t="s">
        <v>304</v>
      </c>
      <c r="N244" s="14" t="str">
        <f t="shared" si="9"/>
        <v>333190 Speditørarbejde i øvrigt</v>
      </c>
      <c r="V244" t="str">
        <f t="shared" si="10"/>
        <v xml:space="preserve"> </v>
      </c>
    </row>
    <row r="245" spans="12:22" x14ac:dyDescent="0.2">
      <c r="L245" s="8">
        <v>333200</v>
      </c>
      <c r="M245" s="8" t="s">
        <v>305</v>
      </c>
      <c r="N245" s="14" t="str">
        <f t="shared" si="9"/>
        <v>333200 Konference- og eventplanlægning</v>
      </c>
      <c r="V245" t="str">
        <f t="shared" si="10"/>
        <v xml:space="preserve"> </v>
      </c>
    </row>
    <row r="246" spans="12:22" x14ac:dyDescent="0.2">
      <c r="L246" s="8">
        <v>333300</v>
      </c>
      <c r="M246" s="8" t="s">
        <v>306</v>
      </c>
      <c r="N246" s="14" t="str">
        <f t="shared" si="9"/>
        <v>333300 Jobformidling</v>
      </c>
      <c r="V246" t="str">
        <f t="shared" si="10"/>
        <v xml:space="preserve"> </v>
      </c>
    </row>
    <row r="247" spans="12:22" x14ac:dyDescent="0.2">
      <c r="L247" s="8">
        <v>333410</v>
      </c>
      <c r="M247" s="8" t="s">
        <v>307</v>
      </c>
      <c r="N247" s="14" t="str">
        <f t="shared" si="9"/>
        <v>333410 Ejendomsmæglerarbejde</v>
      </c>
      <c r="V247" t="str">
        <f t="shared" si="10"/>
        <v xml:space="preserve"> </v>
      </c>
    </row>
    <row r="248" spans="12:22" x14ac:dyDescent="0.2">
      <c r="L248" s="8">
        <v>333420</v>
      </c>
      <c r="M248" s="8" t="s">
        <v>308</v>
      </c>
      <c r="N248" s="14" t="str">
        <f t="shared" si="9"/>
        <v>333420 Ejendomshandlerarbejde</v>
      </c>
      <c r="V248" t="str">
        <f t="shared" si="10"/>
        <v xml:space="preserve"> </v>
      </c>
    </row>
    <row r="249" spans="12:22" x14ac:dyDescent="0.2">
      <c r="L249" s="8">
        <v>333430</v>
      </c>
      <c r="M249" s="8" t="s">
        <v>309</v>
      </c>
      <c r="N249" s="14" t="str">
        <f t="shared" si="9"/>
        <v>333430 Ejendomsadministratorarbejde</v>
      </c>
      <c r="V249" t="str">
        <f t="shared" si="10"/>
        <v xml:space="preserve"> </v>
      </c>
    </row>
    <row r="250" spans="12:22" x14ac:dyDescent="0.2">
      <c r="L250" s="8">
        <v>333900</v>
      </c>
      <c r="M250" s="8" t="s">
        <v>310</v>
      </c>
      <c r="N250" s="14" t="str">
        <f t="shared" si="9"/>
        <v>333900 Andet arbejde inden for forretningsservice</v>
      </c>
      <c r="V250" t="str">
        <f t="shared" si="10"/>
        <v xml:space="preserve"> </v>
      </c>
    </row>
    <row r="251" spans="12:22" x14ac:dyDescent="0.2">
      <c r="L251" s="8">
        <v>334200</v>
      </c>
      <c r="M251" s="8" t="s">
        <v>311</v>
      </c>
      <c r="N251" s="14" t="str">
        <f t="shared" si="9"/>
        <v>334200 Advokatsekretærarbejde</v>
      </c>
      <c r="V251" t="str">
        <f t="shared" si="10"/>
        <v xml:space="preserve"> </v>
      </c>
    </row>
    <row r="252" spans="12:22" x14ac:dyDescent="0.2">
      <c r="L252" s="8">
        <v>334310</v>
      </c>
      <c r="M252" s="8" t="s">
        <v>312</v>
      </c>
      <c r="N252" s="14" t="str">
        <f t="shared" si="9"/>
        <v>334310 Chef- og direktionssekretærarbejde</v>
      </c>
      <c r="V252" t="str">
        <f t="shared" si="10"/>
        <v xml:space="preserve"> </v>
      </c>
    </row>
    <row r="253" spans="12:22" x14ac:dyDescent="0.2">
      <c r="L253" s="8">
        <v>334320</v>
      </c>
      <c r="M253" s="8" t="s">
        <v>313</v>
      </c>
      <c r="N253" s="14" t="str">
        <f t="shared" si="9"/>
        <v>334320 Oversættelse af korrespondance</v>
      </c>
      <c r="V253" t="str">
        <f t="shared" si="10"/>
        <v xml:space="preserve"> </v>
      </c>
    </row>
    <row r="254" spans="12:22" x14ac:dyDescent="0.2">
      <c r="L254" s="8">
        <v>334400</v>
      </c>
      <c r="M254" s="8" t="s">
        <v>314</v>
      </c>
      <c r="N254" s="14" t="str">
        <f t="shared" si="9"/>
        <v>334400 Lægesekretærarbejde</v>
      </c>
      <c r="V254" t="str">
        <f t="shared" si="10"/>
        <v xml:space="preserve"> </v>
      </c>
    </row>
    <row r="255" spans="12:22" x14ac:dyDescent="0.2">
      <c r="L255" s="8">
        <v>335100</v>
      </c>
      <c r="M255" s="8" t="s">
        <v>315</v>
      </c>
      <c r="N255" s="14" t="str">
        <f t="shared" si="9"/>
        <v>335100 Told- og grænsebetjentarbejde</v>
      </c>
      <c r="V255" t="str">
        <f t="shared" si="10"/>
        <v xml:space="preserve"> </v>
      </c>
    </row>
    <row r="256" spans="12:22" x14ac:dyDescent="0.2">
      <c r="L256" s="8">
        <v>335200</v>
      </c>
      <c r="M256" s="8" t="s">
        <v>316</v>
      </c>
      <c r="N256" s="14" t="str">
        <f t="shared" si="9"/>
        <v>335200 Administration af skatte- og afgiftslovgivning</v>
      </c>
      <c r="V256" t="str">
        <f t="shared" si="10"/>
        <v xml:space="preserve"> </v>
      </c>
    </row>
    <row r="257" spans="12:22" x14ac:dyDescent="0.2">
      <c r="L257" s="8">
        <v>335300</v>
      </c>
      <c r="M257" s="8" t="s">
        <v>317</v>
      </c>
      <c r="N257" s="14" t="str">
        <f t="shared" si="9"/>
        <v>335300 Formidling af offentlige ydelser</v>
      </c>
      <c r="V257" t="str">
        <f t="shared" si="10"/>
        <v xml:space="preserve"> </v>
      </c>
    </row>
    <row r="258" spans="12:22" x14ac:dyDescent="0.2">
      <c r="L258" s="8">
        <v>335400</v>
      </c>
      <c r="M258" s="8" t="s">
        <v>318</v>
      </c>
      <c r="N258" s="14" t="str">
        <f t="shared" si="9"/>
        <v>335400 Udstedelse af pas, kørekort o.l.</v>
      </c>
      <c r="V258" t="str">
        <f t="shared" si="10"/>
        <v xml:space="preserve"> </v>
      </c>
    </row>
    <row r="259" spans="12:22" x14ac:dyDescent="0.2">
      <c r="L259" s="8">
        <v>335500</v>
      </c>
      <c r="M259" s="8" t="s">
        <v>319</v>
      </c>
      <c r="N259" s="14" t="str">
        <f t="shared" ref="N259:N322" si="11">L259&amp;" "&amp;M259</f>
        <v>335500 Politimæssigt undersøgelsesarbejde</v>
      </c>
      <c r="V259" t="str">
        <f t="shared" ref="V259:V322" si="12">CONCATENATE(T258," ",U258)</f>
        <v xml:space="preserve"> </v>
      </c>
    </row>
    <row r="260" spans="12:22" x14ac:dyDescent="0.2">
      <c r="L260" s="8">
        <v>335900</v>
      </c>
      <c r="M260" s="8" t="s">
        <v>320</v>
      </c>
      <c r="N260" s="14" t="str">
        <f t="shared" si="11"/>
        <v>335900 Andet arbejde med forvaltning og udøvelse af lovgivning</v>
      </c>
      <c r="V260" t="str">
        <f t="shared" si="12"/>
        <v xml:space="preserve"> </v>
      </c>
    </row>
    <row r="261" spans="12:22" x14ac:dyDescent="0.2">
      <c r="L261" s="8">
        <v>341100</v>
      </c>
      <c r="M261" s="8" t="s">
        <v>321</v>
      </c>
      <c r="N261" s="14" t="str">
        <f t="shared" si="11"/>
        <v>341100 Juridisk arbejde på mellemniveau</v>
      </c>
      <c r="V261" t="str">
        <f t="shared" si="12"/>
        <v xml:space="preserve"> </v>
      </c>
    </row>
    <row r="262" spans="12:22" x14ac:dyDescent="0.2">
      <c r="L262" s="8">
        <v>341200</v>
      </c>
      <c r="M262" s="8" t="s">
        <v>322</v>
      </c>
      <c r="N262" s="14" t="str">
        <f t="shared" si="11"/>
        <v>341200 Social rådgivningsarbejde på mellemniveau</v>
      </c>
      <c r="V262" t="str">
        <f t="shared" si="12"/>
        <v xml:space="preserve"> </v>
      </c>
    </row>
    <row r="263" spans="12:22" x14ac:dyDescent="0.2">
      <c r="L263" s="8">
        <v>341300</v>
      </c>
      <c r="M263" s="8" t="s">
        <v>323</v>
      </c>
      <c r="N263" s="14" t="str">
        <f t="shared" si="11"/>
        <v>341300 Arbejde med tilknytning til religion på mellemniveau</v>
      </c>
      <c r="V263" t="str">
        <f t="shared" si="12"/>
        <v xml:space="preserve"> </v>
      </c>
    </row>
    <row r="264" spans="12:22" x14ac:dyDescent="0.2">
      <c r="L264" s="8">
        <v>342100</v>
      </c>
      <c r="M264" s="8" t="s">
        <v>324</v>
      </c>
      <c r="N264" s="14" t="str">
        <f t="shared" si="11"/>
        <v>342100 Sportsudøvere</v>
      </c>
      <c r="V264" t="str">
        <f t="shared" si="12"/>
        <v xml:space="preserve"> </v>
      </c>
    </row>
    <row r="265" spans="12:22" x14ac:dyDescent="0.2">
      <c r="L265" s="8">
        <v>342200</v>
      </c>
      <c r="M265" s="8" t="s">
        <v>325</v>
      </c>
      <c r="N265" s="14" t="str">
        <f t="shared" si="11"/>
        <v>342200 Træner-, instruktør- og dommerarbejde inden for sport</v>
      </c>
      <c r="V265" t="str">
        <f t="shared" si="12"/>
        <v xml:space="preserve"> </v>
      </c>
    </row>
    <row r="266" spans="12:22" x14ac:dyDescent="0.2">
      <c r="L266" s="8">
        <v>342300</v>
      </c>
      <c r="M266" s="8" t="s">
        <v>326</v>
      </c>
      <c r="N266" s="14" t="str">
        <f t="shared" si="11"/>
        <v>342300 Instruktørarbejde inden for fitness og beslægtede områder</v>
      </c>
      <c r="V266" t="str">
        <f t="shared" si="12"/>
        <v xml:space="preserve"> </v>
      </c>
    </row>
    <row r="267" spans="12:22" x14ac:dyDescent="0.2">
      <c r="L267" s="8">
        <v>343100</v>
      </c>
      <c r="M267" s="8" t="s">
        <v>327</v>
      </c>
      <c r="N267" s="14" t="str">
        <f t="shared" si="11"/>
        <v>343100 Fotografarbejde</v>
      </c>
      <c r="V267" t="str">
        <f t="shared" si="12"/>
        <v xml:space="preserve"> </v>
      </c>
    </row>
    <row r="268" spans="12:22" x14ac:dyDescent="0.2">
      <c r="L268" s="8">
        <v>343200</v>
      </c>
      <c r="M268" s="8" t="s">
        <v>328</v>
      </c>
      <c r="N268" s="14" t="str">
        <f t="shared" si="11"/>
        <v>343200 Indretningsarkitekt- og dekoratørarbejde</v>
      </c>
      <c r="V268" t="str">
        <f t="shared" si="12"/>
        <v xml:space="preserve"> </v>
      </c>
    </row>
    <row r="269" spans="12:22" x14ac:dyDescent="0.2">
      <c r="L269" s="8">
        <v>343300</v>
      </c>
      <c r="M269" s="8" t="s">
        <v>329</v>
      </c>
      <c r="N269" s="14" t="str">
        <f t="shared" si="11"/>
        <v>343300 Galleri-, museums- og biblioteksteknikerarbejde</v>
      </c>
      <c r="V269" t="str">
        <f t="shared" si="12"/>
        <v xml:space="preserve"> </v>
      </c>
    </row>
    <row r="270" spans="12:22" x14ac:dyDescent="0.2">
      <c r="L270" s="8">
        <v>343400</v>
      </c>
      <c r="M270" s="8" t="s">
        <v>330</v>
      </c>
      <c r="N270" s="14" t="str">
        <f t="shared" si="11"/>
        <v>343400 Køkkenchefarbejde</v>
      </c>
      <c r="V270" t="str">
        <f t="shared" si="12"/>
        <v xml:space="preserve"> </v>
      </c>
    </row>
    <row r="271" spans="12:22" x14ac:dyDescent="0.2">
      <c r="L271" s="8">
        <v>343500</v>
      </c>
      <c r="M271" s="8" t="s">
        <v>331</v>
      </c>
      <c r="N271" s="14" t="str">
        <f t="shared" si="11"/>
        <v>343500 Andet arbejde inden for kunstneriske, kulturelle og kulinariske områder</v>
      </c>
      <c r="V271" t="str">
        <f t="shared" si="12"/>
        <v xml:space="preserve"> </v>
      </c>
    </row>
    <row r="272" spans="12:22" x14ac:dyDescent="0.2">
      <c r="L272" s="8">
        <v>351100</v>
      </c>
      <c r="M272" s="8" t="s">
        <v>332</v>
      </c>
      <c r="N272" s="14" t="str">
        <f t="shared" si="11"/>
        <v>351100 Driftsteknikerarbejde inden for informations- og kommunikationsteknologi</v>
      </c>
      <c r="V272" t="str">
        <f t="shared" si="12"/>
        <v xml:space="preserve"> </v>
      </c>
    </row>
    <row r="273" spans="12:22" x14ac:dyDescent="0.2">
      <c r="L273" s="8">
        <v>351200</v>
      </c>
      <c r="M273" s="8" t="s">
        <v>333</v>
      </c>
      <c r="N273" s="14" t="str">
        <f t="shared" si="11"/>
        <v>351200 Brugersupportarbejde inden for informations- og kommunikationsteknologi</v>
      </c>
      <c r="V273" t="str">
        <f t="shared" si="12"/>
        <v xml:space="preserve"> </v>
      </c>
    </row>
    <row r="274" spans="12:22" x14ac:dyDescent="0.2">
      <c r="L274" s="8">
        <v>351300</v>
      </c>
      <c r="M274" s="8" t="s">
        <v>334</v>
      </c>
      <c r="N274" s="14" t="str">
        <f t="shared" si="11"/>
        <v>351300 Netværks- og systemteknikerarbejde inden for informations- og kommunikationsteknologi</v>
      </c>
      <c r="V274" t="str">
        <f t="shared" si="12"/>
        <v xml:space="preserve"> </v>
      </c>
    </row>
    <row r="275" spans="12:22" x14ac:dyDescent="0.2">
      <c r="L275" s="8">
        <v>351400</v>
      </c>
      <c r="M275" s="8" t="s">
        <v>335</v>
      </c>
      <c r="N275" s="14" t="str">
        <f t="shared" si="11"/>
        <v>351400 Internetteknikerarbejde</v>
      </c>
      <c r="V275" t="str">
        <f t="shared" si="12"/>
        <v xml:space="preserve"> </v>
      </c>
    </row>
    <row r="276" spans="12:22" x14ac:dyDescent="0.2">
      <c r="L276" s="8">
        <v>352100</v>
      </c>
      <c r="M276" s="8" t="s">
        <v>336</v>
      </c>
      <c r="N276" s="14" t="str">
        <f t="shared" si="11"/>
        <v>352100 Teknikerarbejde inden for audiovisuelle medier</v>
      </c>
      <c r="V276" t="str">
        <f t="shared" si="12"/>
        <v xml:space="preserve"> </v>
      </c>
    </row>
    <row r="277" spans="12:22" x14ac:dyDescent="0.2">
      <c r="L277" s="8">
        <v>352200</v>
      </c>
      <c r="M277" s="8" t="s">
        <v>337</v>
      </c>
      <c r="N277" s="14" t="str">
        <f t="shared" si="11"/>
        <v>352200 Teknikerarbejde inden for telekommunikation</v>
      </c>
      <c r="V277" t="str">
        <f t="shared" si="12"/>
        <v xml:space="preserve"> </v>
      </c>
    </row>
    <row r="278" spans="12:22" x14ac:dyDescent="0.2">
      <c r="L278" s="8">
        <v>411000</v>
      </c>
      <c r="M278" s="8" t="s">
        <v>338</v>
      </c>
      <c r="N278" s="14" t="str">
        <f t="shared" si="11"/>
        <v>411000 Almindeligt kontorarbejde</v>
      </c>
      <c r="V278" t="str">
        <f t="shared" si="12"/>
        <v xml:space="preserve"> </v>
      </c>
    </row>
    <row r="279" spans="12:22" x14ac:dyDescent="0.2">
      <c r="L279" s="8">
        <v>412000</v>
      </c>
      <c r="M279" s="8" t="s">
        <v>339</v>
      </c>
      <c r="N279" s="14" t="str">
        <f t="shared" si="11"/>
        <v>412000 Almindeligt sekretærarbejde</v>
      </c>
      <c r="V279" t="str">
        <f t="shared" si="12"/>
        <v xml:space="preserve"> </v>
      </c>
    </row>
    <row r="280" spans="12:22" x14ac:dyDescent="0.2">
      <c r="L280" s="8">
        <v>413100</v>
      </c>
      <c r="M280" s="8" t="s">
        <v>340</v>
      </c>
      <c r="N280" s="14" t="str">
        <f t="shared" si="11"/>
        <v>413100 Tekstbehandlingsarbejde</v>
      </c>
      <c r="V280" t="str">
        <f t="shared" si="12"/>
        <v xml:space="preserve"> </v>
      </c>
    </row>
    <row r="281" spans="12:22" x14ac:dyDescent="0.2">
      <c r="L281" s="8">
        <v>413200</v>
      </c>
      <c r="M281" s="8" t="s">
        <v>341</v>
      </c>
      <c r="N281" s="14" t="str">
        <f t="shared" si="11"/>
        <v>413200 Dataregistreringsarbejde</v>
      </c>
      <c r="V281" t="str">
        <f t="shared" si="12"/>
        <v xml:space="preserve"> </v>
      </c>
    </row>
    <row r="282" spans="12:22" x14ac:dyDescent="0.2">
      <c r="L282" s="8">
        <v>421100</v>
      </c>
      <c r="M282" s="8" t="s">
        <v>342</v>
      </c>
      <c r="N282" s="14" t="str">
        <f t="shared" si="11"/>
        <v>421100 Kundebetjening og kassererarbejde i pengeinstitutter</v>
      </c>
      <c r="V282" t="str">
        <f t="shared" si="12"/>
        <v xml:space="preserve"> </v>
      </c>
    </row>
    <row r="283" spans="12:22" x14ac:dyDescent="0.2">
      <c r="L283" s="8">
        <v>421200</v>
      </c>
      <c r="M283" s="8" t="s">
        <v>343</v>
      </c>
      <c r="N283" s="14" t="str">
        <f t="shared" si="11"/>
        <v>421200 Bookmaker- og croupierarbejde samt beslægtede funktioner</v>
      </c>
      <c r="V283" t="str">
        <f t="shared" si="12"/>
        <v xml:space="preserve"> </v>
      </c>
    </row>
    <row r="284" spans="12:22" x14ac:dyDescent="0.2">
      <c r="L284" s="8">
        <v>421300</v>
      </c>
      <c r="M284" s="8" t="s">
        <v>344</v>
      </c>
      <c r="N284" s="14" t="str">
        <f t="shared" si="11"/>
        <v>421300 Pantelånerarbejde og beslægtede funktioner</v>
      </c>
      <c r="V284" t="str">
        <f t="shared" si="12"/>
        <v xml:space="preserve"> </v>
      </c>
    </row>
    <row r="285" spans="12:22" x14ac:dyDescent="0.2">
      <c r="L285" s="8">
        <v>421400</v>
      </c>
      <c r="M285" s="8" t="s">
        <v>345</v>
      </c>
      <c r="N285" s="14" t="str">
        <f t="shared" si="11"/>
        <v>421400 Inkassatorarbejde og beslægtede funktioner</v>
      </c>
      <c r="V285" t="str">
        <f t="shared" si="12"/>
        <v xml:space="preserve"> </v>
      </c>
    </row>
    <row r="286" spans="12:22" x14ac:dyDescent="0.2">
      <c r="L286" s="8">
        <v>422100</v>
      </c>
      <c r="M286" s="8" t="s">
        <v>346</v>
      </c>
      <c r="N286" s="14" t="str">
        <f t="shared" si="11"/>
        <v>422100 Rejsebureauarbejde</v>
      </c>
      <c r="V286" t="str">
        <f t="shared" si="12"/>
        <v xml:space="preserve"> </v>
      </c>
    </row>
    <row r="287" spans="12:22" x14ac:dyDescent="0.2">
      <c r="L287" s="8">
        <v>422200</v>
      </c>
      <c r="M287" s="8" t="s">
        <v>347</v>
      </c>
      <c r="N287" s="14" t="str">
        <f t="shared" si="11"/>
        <v>422200 Informationsarbejde på kundekontaktcentre</v>
      </c>
      <c r="V287" t="str">
        <f t="shared" si="12"/>
        <v xml:space="preserve"> </v>
      </c>
    </row>
    <row r="288" spans="12:22" x14ac:dyDescent="0.2">
      <c r="L288" s="8">
        <v>422300</v>
      </c>
      <c r="M288" s="8" t="s">
        <v>348</v>
      </c>
      <c r="N288" s="14" t="str">
        <f t="shared" si="11"/>
        <v>422300 Telefonomstillingsarbejde</v>
      </c>
      <c r="V288" t="str">
        <f t="shared" si="12"/>
        <v xml:space="preserve"> </v>
      </c>
    </row>
    <row r="289" spans="12:22" x14ac:dyDescent="0.2">
      <c r="L289" s="8">
        <v>422400</v>
      </c>
      <c r="M289" s="8" t="s">
        <v>349</v>
      </c>
      <c r="N289" s="14" t="str">
        <f t="shared" si="11"/>
        <v>422400 Hotelreceptionistarbejde</v>
      </c>
      <c r="V289" t="str">
        <f t="shared" si="12"/>
        <v xml:space="preserve"> </v>
      </c>
    </row>
    <row r="290" spans="12:22" x14ac:dyDescent="0.2">
      <c r="L290" s="8">
        <v>422500</v>
      </c>
      <c r="M290" s="8" t="s">
        <v>350</v>
      </c>
      <c r="N290" s="14" t="str">
        <f t="shared" si="11"/>
        <v>422500 Oplysnings- og forespørgselsarbejde</v>
      </c>
      <c r="V290" t="str">
        <f t="shared" si="12"/>
        <v xml:space="preserve"> </v>
      </c>
    </row>
    <row r="291" spans="12:22" x14ac:dyDescent="0.2">
      <c r="L291" s="8">
        <v>422600</v>
      </c>
      <c r="M291" s="8" t="s">
        <v>351</v>
      </c>
      <c r="N291" s="14" t="str">
        <f t="shared" si="11"/>
        <v>422600 Almindeligt receptionistarbejde, ekskl. hotelreceptionistarbejde</v>
      </c>
      <c r="V291" t="str">
        <f t="shared" si="12"/>
        <v xml:space="preserve"> </v>
      </c>
    </row>
    <row r="292" spans="12:22" x14ac:dyDescent="0.2">
      <c r="L292" s="8">
        <v>422700</v>
      </c>
      <c r="M292" s="8" t="s">
        <v>352</v>
      </c>
      <c r="N292" s="14" t="str">
        <f t="shared" si="11"/>
        <v>422700 Interviewarbejde inden for markedsundersøgelse</v>
      </c>
      <c r="V292" t="str">
        <f t="shared" si="12"/>
        <v xml:space="preserve"> </v>
      </c>
    </row>
    <row r="293" spans="12:22" x14ac:dyDescent="0.2">
      <c r="L293" s="8">
        <v>422900</v>
      </c>
      <c r="M293" s="8" t="s">
        <v>353</v>
      </c>
      <c r="N293" s="14" t="str">
        <f t="shared" si="11"/>
        <v>422900 Andet kundeinformationsarbejde</v>
      </c>
      <c r="V293" t="str">
        <f t="shared" si="12"/>
        <v xml:space="preserve"> </v>
      </c>
    </row>
    <row r="294" spans="12:22" x14ac:dyDescent="0.2">
      <c r="L294" s="8">
        <v>431100</v>
      </c>
      <c r="M294" s="8" t="s">
        <v>354</v>
      </c>
      <c r="N294" s="14" t="str">
        <f t="shared" si="11"/>
        <v>431100 Almindeligt regnskabs- og bogføringsarbejde</v>
      </c>
      <c r="V294" t="str">
        <f t="shared" si="12"/>
        <v xml:space="preserve"> </v>
      </c>
    </row>
    <row r="295" spans="12:22" x14ac:dyDescent="0.2">
      <c r="L295" s="8">
        <v>431210</v>
      </c>
      <c r="M295" s="8" t="s">
        <v>355</v>
      </c>
      <c r="N295" s="14" t="str">
        <f t="shared" si="11"/>
        <v>431210 Almindeligt kontorarbejde ifm. udfærdigelse af statistik</v>
      </c>
      <c r="V295" t="str">
        <f t="shared" si="12"/>
        <v xml:space="preserve"> </v>
      </c>
    </row>
    <row r="296" spans="12:22" x14ac:dyDescent="0.2">
      <c r="L296" s="8">
        <v>431220</v>
      </c>
      <c r="M296" s="8" t="s">
        <v>356</v>
      </c>
      <c r="N296" s="14" t="str">
        <f t="shared" si="11"/>
        <v>431220 Almindeligt kontorarbejde ifm. finansielle transaktioner</v>
      </c>
      <c r="V296" t="str">
        <f t="shared" si="12"/>
        <v xml:space="preserve"> </v>
      </c>
    </row>
    <row r="297" spans="12:22" x14ac:dyDescent="0.2">
      <c r="L297" s="8">
        <v>431230</v>
      </c>
      <c r="M297" s="8" t="s">
        <v>357</v>
      </c>
      <c r="N297" s="14" t="str">
        <f t="shared" si="11"/>
        <v>431230 Forsikringsteknisk arbejde ifm. oprettelse og vedligeholdelse af forsikringspolicer</v>
      </c>
      <c r="V297" t="str">
        <f t="shared" si="12"/>
        <v xml:space="preserve"> </v>
      </c>
    </row>
    <row r="298" spans="12:22" x14ac:dyDescent="0.2">
      <c r="L298" s="8">
        <v>431240</v>
      </c>
      <c r="M298" s="8" t="s">
        <v>358</v>
      </c>
      <c r="N298" s="14" t="str">
        <f t="shared" si="11"/>
        <v>431240 Forsikringsteknisk arbejde ifm. sagbehandling af skader</v>
      </c>
      <c r="V298" t="str">
        <f t="shared" si="12"/>
        <v xml:space="preserve"> </v>
      </c>
    </row>
    <row r="299" spans="12:22" x14ac:dyDescent="0.2">
      <c r="L299" s="8">
        <v>431300</v>
      </c>
      <c r="M299" s="8" t="s">
        <v>359</v>
      </c>
      <c r="N299" s="14" t="str">
        <f t="shared" si="11"/>
        <v>431300 Almindeligt kontorarbejde inden for lønbehandling</v>
      </c>
      <c r="V299" t="str">
        <f t="shared" si="12"/>
        <v xml:space="preserve"> </v>
      </c>
    </row>
    <row r="300" spans="12:22" x14ac:dyDescent="0.2">
      <c r="L300" s="8">
        <v>432100</v>
      </c>
      <c r="M300" s="8" t="s">
        <v>360</v>
      </c>
      <c r="N300" s="14" t="str">
        <f t="shared" si="11"/>
        <v>432100 Lagerekspeditionsarbejde</v>
      </c>
      <c r="V300" t="str">
        <f t="shared" si="12"/>
        <v xml:space="preserve"> </v>
      </c>
    </row>
    <row r="301" spans="12:22" x14ac:dyDescent="0.2">
      <c r="L301" s="8">
        <v>432200</v>
      </c>
      <c r="M301" s="8" t="s">
        <v>361</v>
      </c>
      <c r="N301" s="14" t="str">
        <f t="shared" si="11"/>
        <v>432200 Registreringsarbejde inden for produktion</v>
      </c>
      <c r="V301" t="str">
        <f t="shared" si="12"/>
        <v xml:space="preserve"> </v>
      </c>
    </row>
    <row r="302" spans="12:22" x14ac:dyDescent="0.2">
      <c r="L302" s="8">
        <v>432310</v>
      </c>
      <c r="M302" s="8" t="s">
        <v>362</v>
      </c>
      <c r="N302" s="14" t="str">
        <f t="shared" si="11"/>
        <v>432310 Tilrettelæggelse af jernbanetransport</v>
      </c>
      <c r="V302" t="str">
        <f t="shared" si="12"/>
        <v xml:space="preserve"> </v>
      </c>
    </row>
    <row r="303" spans="12:22" x14ac:dyDescent="0.2">
      <c r="L303" s="8">
        <v>432320</v>
      </c>
      <c r="M303" s="8" t="s">
        <v>363</v>
      </c>
      <c r="N303" s="14" t="str">
        <f t="shared" si="11"/>
        <v>432320 Tilrettelæggelse af lufttransport ¿ ikke flyveledere</v>
      </c>
      <c r="V303" t="str">
        <f t="shared" si="12"/>
        <v xml:space="preserve"> </v>
      </c>
    </row>
    <row r="304" spans="12:22" x14ac:dyDescent="0.2">
      <c r="L304" s="8">
        <v>432330</v>
      </c>
      <c r="M304" s="8" t="s">
        <v>364</v>
      </c>
      <c r="N304" s="14" t="str">
        <f t="shared" si="11"/>
        <v>432330 Tilrettelæggelse af godstransport til lands</v>
      </c>
      <c r="V304" t="str">
        <f t="shared" si="12"/>
        <v xml:space="preserve"> </v>
      </c>
    </row>
    <row r="305" spans="12:22" x14ac:dyDescent="0.2">
      <c r="L305" s="8">
        <v>432340</v>
      </c>
      <c r="M305" s="8" t="s">
        <v>365</v>
      </c>
      <c r="N305" s="14" t="str">
        <f t="shared" si="11"/>
        <v>432340 Tilrettelæggelse af udrykning  ifm. redningstjeneste</v>
      </c>
      <c r="V305" t="str">
        <f t="shared" si="12"/>
        <v xml:space="preserve"> </v>
      </c>
    </row>
    <row r="306" spans="12:22" x14ac:dyDescent="0.2">
      <c r="L306" s="8">
        <v>432390</v>
      </c>
      <c r="M306" s="8" t="s">
        <v>366</v>
      </c>
      <c r="N306" s="14" t="str">
        <f t="shared" si="11"/>
        <v>432390 Anden tilrettelæggelse af transport</v>
      </c>
      <c r="V306" t="str">
        <f t="shared" si="12"/>
        <v xml:space="preserve"> </v>
      </c>
    </row>
    <row r="307" spans="12:22" x14ac:dyDescent="0.2">
      <c r="L307" s="8">
        <v>441100</v>
      </c>
      <c r="M307" s="8" t="s">
        <v>367</v>
      </c>
      <c r="N307" s="14" t="str">
        <f t="shared" si="11"/>
        <v>441100 Biblioteksservicearbejde</v>
      </c>
      <c r="V307" t="str">
        <f t="shared" si="12"/>
        <v xml:space="preserve"> </v>
      </c>
    </row>
    <row r="308" spans="12:22" x14ac:dyDescent="0.2">
      <c r="L308" s="8">
        <v>441210</v>
      </c>
      <c r="M308" s="8" t="s">
        <v>368</v>
      </c>
      <c r="N308" s="14" t="str">
        <f t="shared" si="11"/>
        <v>441210 Postbudarbejde</v>
      </c>
      <c r="V308" t="str">
        <f t="shared" si="12"/>
        <v xml:space="preserve"> </v>
      </c>
    </row>
    <row r="309" spans="12:22" x14ac:dyDescent="0.2">
      <c r="L309" s="8">
        <v>441220</v>
      </c>
      <c r="M309" s="8" t="s">
        <v>369</v>
      </c>
      <c r="N309" s="14" t="str">
        <f t="shared" si="11"/>
        <v>441220 Betjentarbejde, intern postsortering og omdeling</v>
      </c>
      <c r="V309" t="str">
        <f t="shared" si="12"/>
        <v xml:space="preserve"> </v>
      </c>
    </row>
    <row r="310" spans="12:22" x14ac:dyDescent="0.2">
      <c r="L310" s="8">
        <v>441300</v>
      </c>
      <c r="M310" s="8" t="s">
        <v>370</v>
      </c>
      <c r="N310" s="14" t="str">
        <f t="shared" si="11"/>
        <v>441300 Korrekturlæsning og beslægtede funktioner</v>
      </c>
      <c r="V310" t="str">
        <f t="shared" si="12"/>
        <v xml:space="preserve"> </v>
      </c>
    </row>
    <row r="311" spans="12:22" x14ac:dyDescent="0.2">
      <c r="L311" s="8">
        <v>441500</v>
      </c>
      <c r="M311" s="8" t="s">
        <v>371</v>
      </c>
      <c r="N311" s="14" t="str">
        <f t="shared" si="11"/>
        <v>441500 Arbejde med arkivering og kopiering</v>
      </c>
      <c r="V311" t="str">
        <f t="shared" si="12"/>
        <v xml:space="preserve"> </v>
      </c>
    </row>
    <row r="312" spans="12:22" x14ac:dyDescent="0.2">
      <c r="L312" s="8">
        <v>441600</v>
      </c>
      <c r="M312" s="8" t="s">
        <v>372</v>
      </c>
      <c r="N312" s="14" t="str">
        <f t="shared" si="11"/>
        <v>441600 Almindeligt kontorarbejde inden for HR</v>
      </c>
      <c r="V312" t="str">
        <f t="shared" si="12"/>
        <v xml:space="preserve"> </v>
      </c>
    </row>
    <row r="313" spans="12:22" x14ac:dyDescent="0.2">
      <c r="L313" s="8">
        <v>441900</v>
      </c>
      <c r="M313" s="8" t="s">
        <v>373</v>
      </c>
      <c r="N313" s="14" t="str">
        <f t="shared" si="11"/>
        <v>441900 Almindeligt kontor- og kundeservicearbejde ikke klassificeret andetsteds</v>
      </c>
      <c r="V313" t="str">
        <f t="shared" si="12"/>
        <v xml:space="preserve"> </v>
      </c>
    </row>
    <row r="314" spans="12:22" x14ac:dyDescent="0.2">
      <c r="L314" s="8">
        <v>511110</v>
      </c>
      <c r="M314" s="8" t="s">
        <v>374</v>
      </c>
      <c r="N314" s="14" t="str">
        <f t="shared" si="11"/>
        <v>511110 Passagerbetjening under rejser</v>
      </c>
      <c r="V314" t="str">
        <f t="shared" si="12"/>
        <v xml:space="preserve"> </v>
      </c>
    </row>
    <row r="315" spans="12:22" x14ac:dyDescent="0.2">
      <c r="L315" s="8">
        <v>511120</v>
      </c>
      <c r="M315" s="8" t="s">
        <v>375</v>
      </c>
      <c r="N315" s="14" t="str">
        <f t="shared" si="11"/>
        <v>511120 Passagerbetjening i lufthavne og havneterminaler</v>
      </c>
      <c r="V315" t="str">
        <f t="shared" si="12"/>
        <v xml:space="preserve"> </v>
      </c>
    </row>
    <row r="316" spans="12:22" x14ac:dyDescent="0.2">
      <c r="L316" s="8">
        <v>511200</v>
      </c>
      <c r="M316" s="8" t="s">
        <v>376</v>
      </c>
      <c r="N316" s="14" t="str">
        <f t="shared" si="11"/>
        <v>511200 Kontrolarbejde under rejser</v>
      </c>
      <c r="V316" t="str">
        <f t="shared" si="12"/>
        <v xml:space="preserve"> </v>
      </c>
    </row>
    <row r="317" spans="12:22" x14ac:dyDescent="0.2">
      <c r="L317" s="8">
        <v>511300</v>
      </c>
      <c r="M317" s="8" t="s">
        <v>377</v>
      </c>
      <c r="N317" s="14" t="str">
        <f t="shared" si="11"/>
        <v>511300 Turist- og rejselederarbejde</v>
      </c>
      <c r="V317" t="str">
        <f t="shared" si="12"/>
        <v xml:space="preserve"> </v>
      </c>
    </row>
    <row r="318" spans="12:22" x14ac:dyDescent="0.2">
      <c r="L318" s="8">
        <v>512000</v>
      </c>
      <c r="M318" s="8" t="s">
        <v>378</v>
      </c>
      <c r="N318" s="14" t="str">
        <f t="shared" si="11"/>
        <v>512000 Kokkearbejde (ekskl. køkkenchefarbejde)</v>
      </c>
      <c r="V318" t="str">
        <f t="shared" si="12"/>
        <v xml:space="preserve"> </v>
      </c>
    </row>
    <row r="319" spans="12:22" x14ac:dyDescent="0.2">
      <c r="L319" s="8">
        <v>513100</v>
      </c>
      <c r="M319" s="8" t="s">
        <v>379</v>
      </c>
      <c r="N319" s="14" t="str">
        <f t="shared" si="11"/>
        <v>513100 Tjenerarbejde</v>
      </c>
      <c r="V319" t="str">
        <f t="shared" si="12"/>
        <v xml:space="preserve"> </v>
      </c>
    </row>
    <row r="320" spans="12:22" x14ac:dyDescent="0.2">
      <c r="L320" s="8">
        <v>513200</v>
      </c>
      <c r="M320" s="8" t="s">
        <v>380</v>
      </c>
      <c r="N320" s="14" t="str">
        <f t="shared" si="11"/>
        <v>513200 Bartenderarbejde</v>
      </c>
      <c r="V320" t="str">
        <f t="shared" si="12"/>
        <v xml:space="preserve"> </v>
      </c>
    </row>
    <row r="321" spans="12:22" x14ac:dyDescent="0.2">
      <c r="L321" s="8">
        <v>514100</v>
      </c>
      <c r="M321" s="8" t="s">
        <v>381</v>
      </c>
      <c r="N321" s="14" t="str">
        <f t="shared" si="11"/>
        <v>514100 Frisørarbejde</v>
      </c>
      <c r="V321" t="str">
        <f t="shared" si="12"/>
        <v xml:space="preserve"> </v>
      </c>
    </row>
    <row r="322" spans="12:22" x14ac:dyDescent="0.2">
      <c r="L322" s="8">
        <v>514200</v>
      </c>
      <c r="M322" s="8" t="s">
        <v>382</v>
      </c>
      <c r="N322" s="14" t="str">
        <f t="shared" si="11"/>
        <v>514200 Kosmetologarbejde og beslægtede funktioner</v>
      </c>
      <c r="V322" t="str">
        <f t="shared" si="12"/>
        <v xml:space="preserve"> </v>
      </c>
    </row>
    <row r="323" spans="12:22" x14ac:dyDescent="0.2">
      <c r="L323" s="8">
        <v>515100</v>
      </c>
      <c r="M323" s="8" t="s">
        <v>383</v>
      </c>
      <c r="N323" s="14" t="str">
        <f t="shared" ref="N323:N386" si="13">L323&amp;" "&amp;M323</f>
        <v>515100 Rengøringsinspektørarbejde</v>
      </c>
      <c r="V323" t="str">
        <f t="shared" ref="V323:V386" si="14">CONCATENATE(T322," ",U322)</f>
        <v xml:space="preserve"> </v>
      </c>
    </row>
    <row r="324" spans="12:22" x14ac:dyDescent="0.2">
      <c r="L324" s="8">
        <v>515200</v>
      </c>
      <c r="M324" s="8" t="s">
        <v>384</v>
      </c>
      <c r="N324" s="14" t="str">
        <f t="shared" si="13"/>
        <v>515200 Husbestyrerarbejde</v>
      </c>
      <c r="V324" t="str">
        <f t="shared" si="14"/>
        <v xml:space="preserve"> </v>
      </c>
    </row>
    <row r="325" spans="12:22" x14ac:dyDescent="0.2">
      <c r="L325" s="8">
        <v>515300</v>
      </c>
      <c r="M325" s="8" t="s">
        <v>385</v>
      </c>
      <c r="N325" s="14" t="str">
        <f t="shared" si="13"/>
        <v>515300 Ejendomsinspektørarbejde</v>
      </c>
      <c r="V325" t="str">
        <f t="shared" si="14"/>
        <v xml:space="preserve"> </v>
      </c>
    </row>
    <row r="326" spans="12:22" x14ac:dyDescent="0.2">
      <c r="L326" s="8">
        <v>516100</v>
      </c>
      <c r="M326" s="8" t="s">
        <v>386</v>
      </c>
      <c r="N326" s="14" t="str">
        <f t="shared" si="13"/>
        <v>516100 Astrologiarbejde og beslægtede funktioner</v>
      </c>
      <c r="V326" t="str">
        <f t="shared" si="14"/>
        <v xml:space="preserve"> </v>
      </c>
    </row>
    <row r="327" spans="12:22" x14ac:dyDescent="0.2">
      <c r="L327" s="8">
        <v>516200</v>
      </c>
      <c r="M327" s="8" t="s">
        <v>387</v>
      </c>
      <c r="N327" s="14" t="str">
        <f t="shared" si="13"/>
        <v>516200 Kammertjenerarbejde</v>
      </c>
      <c r="V327" t="str">
        <f t="shared" si="14"/>
        <v xml:space="preserve"> </v>
      </c>
    </row>
    <row r="328" spans="12:22" x14ac:dyDescent="0.2">
      <c r="L328" s="8">
        <v>516300</v>
      </c>
      <c r="M328" s="8" t="s">
        <v>388</v>
      </c>
      <c r="N328" s="14" t="str">
        <f t="shared" si="13"/>
        <v>516300 Bedemandsarbejde</v>
      </c>
      <c r="V328" t="str">
        <f t="shared" si="14"/>
        <v xml:space="preserve"> </v>
      </c>
    </row>
    <row r="329" spans="12:22" x14ac:dyDescent="0.2">
      <c r="L329" s="8">
        <v>516400</v>
      </c>
      <c r="M329" s="8" t="s">
        <v>389</v>
      </c>
      <c r="N329" s="14" t="str">
        <f t="shared" si="13"/>
        <v>516400 Arbejde med kæledyr</v>
      </c>
      <c r="V329" t="str">
        <f t="shared" si="14"/>
        <v xml:space="preserve"> </v>
      </c>
    </row>
    <row r="330" spans="12:22" x14ac:dyDescent="0.2">
      <c r="L330" s="8">
        <v>516500</v>
      </c>
      <c r="M330" s="8" t="s">
        <v>390</v>
      </c>
      <c r="N330" s="14" t="str">
        <f t="shared" si="13"/>
        <v>516500 Kørelærerarbejde</v>
      </c>
      <c r="V330" t="str">
        <f t="shared" si="14"/>
        <v xml:space="preserve"> </v>
      </c>
    </row>
    <row r="331" spans="12:22" x14ac:dyDescent="0.2">
      <c r="L331" s="8">
        <v>516900</v>
      </c>
      <c r="M331" s="8" t="s">
        <v>391</v>
      </c>
      <c r="N331" s="14" t="str">
        <f t="shared" si="13"/>
        <v>516900 Servicearbejde ikke klassificeret andetsteds</v>
      </c>
      <c r="V331" t="str">
        <f t="shared" si="14"/>
        <v xml:space="preserve"> </v>
      </c>
    </row>
    <row r="332" spans="12:22" x14ac:dyDescent="0.2">
      <c r="L332" s="8">
        <v>521100</v>
      </c>
      <c r="M332" s="8" t="s">
        <v>392</v>
      </c>
      <c r="N332" s="14" t="str">
        <f t="shared" si="13"/>
        <v>521100 Stade- og markedssalg</v>
      </c>
      <c r="V332" t="str">
        <f t="shared" si="14"/>
        <v xml:space="preserve"> </v>
      </c>
    </row>
    <row r="333" spans="12:22" x14ac:dyDescent="0.2">
      <c r="L333" s="8">
        <v>521200</v>
      </c>
      <c r="M333" s="8" t="s">
        <v>393</v>
      </c>
      <c r="N333" s="14" t="str">
        <f t="shared" si="13"/>
        <v>521200 Gadesalg af fødevarer</v>
      </c>
      <c r="V333" t="str">
        <f t="shared" si="14"/>
        <v xml:space="preserve"> </v>
      </c>
    </row>
    <row r="334" spans="12:22" x14ac:dyDescent="0.2">
      <c r="L334" s="8">
        <v>522300</v>
      </c>
      <c r="M334" s="8" t="s">
        <v>394</v>
      </c>
      <c r="N334" s="14" t="str">
        <f t="shared" si="13"/>
        <v>522300 Salgsarbejde i butik</v>
      </c>
      <c r="V334" t="str">
        <f t="shared" si="14"/>
        <v xml:space="preserve"> </v>
      </c>
    </row>
    <row r="335" spans="12:22" x14ac:dyDescent="0.2">
      <c r="L335" s="8">
        <v>523000</v>
      </c>
      <c r="M335" s="8" t="s">
        <v>395</v>
      </c>
      <c r="N335" s="14" t="str">
        <f t="shared" si="13"/>
        <v>523000 Kasseassistentarbejde og beslægtet kundebetjening</v>
      </c>
      <c r="V335" t="str">
        <f t="shared" si="14"/>
        <v xml:space="preserve"> </v>
      </c>
    </row>
    <row r="336" spans="12:22" x14ac:dyDescent="0.2">
      <c r="L336" s="8">
        <v>524100</v>
      </c>
      <c r="M336" s="8" t="s">
        <v>396</v>
      </c>
      <c r="N336" s="14" t="str">
        <f t="shared" si="13"/>
        <v>524100 Modelarbejde</v>
      </c>
      <c r="V336" t="str">
        <f t="shared" si="14"/>
        <v xml:space="preserve"> </v>
      </c>
    </row>
    <row r="337" spans="12:22" x14ac:dyDescent="0.2">
      <c r="L337" s="8">
        <v>524200</v>
      </c>
      <c r="M337" s="8" t="s">
        <v>397</v>
      </c>
      <c r="N337" s="14" t="str">
        <f t="shared" si="13"/>
        <v>524200 Demonstrationsarbejde</v>
      </c>
      <c r="V337" t="str">
        <f t="shared" si="14"/>
        <v xml:space="preserve"> </v>
      </c>
    </row>
    <row r="338" spans="12:22" x14ac:dyDescent="0.2">
      <c r="L338" s="8">
        <v>524400</v>
      </c>
      <c r="M338" s="8" t="s">
        <v>398</v>
      </c>
      <c r="N338" s="14" t="str">
        <f t="shared" si="13"/>
        <v>524400 Salgsarbejde i kundekontaktcentre</v>
      </c>
      <c r="V338" t="str">
        <f t="shared" si="14"/>
        <v xml:space="preserve"> </v>
      </c>
    </row>
    <row r="339" spans="12:22" x14ac:dyDescent="0.2">
      <c r="L339" s="8">
        <v>524500</v>
      </c>
      <c r="M339" s="8" t="s">
        <v>399</v>
      </c>
      <c r="N339" s="14" t="str">
        <f t="shared" si="13"/>
        <v>524500 Salgsarbejde på servicestationer</v>
      </c>
      <c r="V339" t="str">
        <f t="shared" si="14"/>
        <v xml:space="preserve"> </v>
      </c>
    </row>
    <row r="340" spans="12:22" x14ac:dyDescent="0.2">
      <c r="L340" s="8">
        <v>524600</v>
      </c>
      <c r="M340" s="8" t="s">
        <v>400</v>
      </c>
      <c r="N340" s="14" t="str">
        <f t="shared" si="13"/>
        <v>524600 Kasseassistentarbejde inden for catering og fastfood</v>
      </c>
      <c r="V340" t="str">
        <f t="shared" si="14"/>
        <v xml:space="preserve"> </v>
      </c>
    </row>
    <row r="341" spans="12:22" x14ac:dyDescent="0.2">
      <c r="L341" s="8">
        <v>524900</v>
      </c>
      <c r="M341" s="8" t="s">
        <v>401</v>
      </c>
      <c r="N341" s="14" t="str">
        <f t="shared" si="13"/>
        <v>524900 Salgsarbejde ikke klassificeret andetsteds</v>
      </c>
      <c r="V341" t="str">
        <f t="shared" si="14"/>
        <v xml:space="preserve"> </v>
      </c>
    </row>
    <row r="342" spans="12:22" x14ac:dyDescent="0.2">
      <c r="L342" s="8">
        <v>531110</v>
      </c>
      <c r="M342" s="8" t="s">
        <v>402</v>
      </c>
      <c r="N342" s="14" t="str">
        <f t="shared" si="13"/>
        <v>531110 Dagplejearbejde</v>
      </c>
      <c r="V342" t="str">
        <f t="shared" si="14"/>
        <v xml:space="preserve"> </v>
      </c>
    </row>
    <row r="343" spans="12:22" x14ac:dyDescent="0.2">
      <c r="L343" s="8">
        <v>531120</v>
      </c>
      <c r="M343" s="8" t="s">
        <v>403</v>
      </c>
      <c r="N343" s="14" t="str">
        <f t="shared" si="13"/>
        <v>531120 Pædagogisk medhjælp</v>
      </c>
      <c r="V343" t="str">
        <f t="shared" si="14"/>
        <v xml:space="preserve"> </v>
      </c>
    </row>
    <row r="344" spans="12:22" x14ac:dyDescent="0.2">
      <c r="L344" s="8">
        <v>531190</v>
      </c>
      <c r="M344" s="8" t="s">
        <v>404</v>
      </c>
      <c r="N344" s="14" t="str">
        <f t="shared" si="13"/>
        <v>531190 Andet børneomsorgsarbejde</v>
      </c>
      <c r="V344" t="str">
        <f t="shared" si="14"/>
        <v xml:space="preserve"> </v>
      </c>
    </row>
    <row r="345" spans="12:22" x14ac:dyDescent="0.2">
      <c r="L345" s="8">
        <v>531200</v>
      </c>
      <c r="M345" s="8" t="s">
        <v>405</v>
      </c>
      <c r="N345" s="14" t="str">
        <f t="shared" si="13"/>
        <v>531200 Hjælpelærerarbejde</v>
      </c>
      <c r="V345" t="str">
        <f t="shared" si="14"/>
        <v xml:space="preserve"> </v>
      </c>
    </row>
    <row r="346" spans="12:22" x14ac:dyDescent="0.2">
      <c r="L346" s="8">
        <v>532110</v>
      </c>
      <c r="M346" s="8" t="s">
        <v>406</v>
      </c>
      <c r="N346" s="14" t="str">
        <f t="shared" si="13"/>
        <v>532110 Social- og sundhedsarbejde på institutioner og hospitaler, medhjælpere</v>
      </c>
      <c r="V346" t="str">
        <f t="shared" si="14"/>
        <v xml:space="preserve"> </v>
      </c>
    </row>
    <row r="347" spans="12:22" x14ac:dyDescent="0.2">
      <c r="L347" s="8">
        <v>532120</v>
      </c>
      <c r="M347" s="8" t="s">
        <v>407</v>
      </c>
      <c r="N347" s="14" t="str">
        <f t="shared" si="13"/>
        <v>532120 Social- og sundhedsarbejde på institutioner og hospitaler, assistenter</v>
      </c>
      <c r="V347" t="str">
        <f t="shared" si="14"/>
        <v xml:space="preserve"> </v>
      </c>
    </row>
    <row r="348" spans="12:22" x14ac:dyDescent="0.2">
      <c r="L348" s="8">
        <v>532130</v>
      </c>
      <c r="M348" s="8" t="s">
        <v>408</v>
      </c>
      <c r="N348" s="14" t="str">
        <f t="shared" si="13"/>
        <v>532130 Portørarbejde på institutioner og hospitaler</v>
      </c>
      <c r="V348" t="str">
        <f t="shared" si="14"/>
        <v xml:space="preserve"> </v>
      </c>
    </row>
    <row r="349" spans="12:22" x14ac:dyDescent="0.2">
      <c r="L349" s="8">
        <v>532190</v>
      </c>
      <c r="M349" s="8" t="s">
        <v>409</v>
      </c>
      <c r="N349" s="14" t="str">
        <f t="shared" si="13"/>
        <v>532190 Andet omsorgsarbejde på institutioner og hospitaler</v>
      </c>
      <c r="V349" t="str">
        <f t="shared" si="14"/>
        <v xml:space="preserve"> </v>
      </c>
    </row>
    <row r="350" spans="12:22" x14ac:dyDescent="0.2">
      <c r="L350" s="8">
        <v>532210</v>
      </c>
      <c r="M350" s="8" t="s">
        <v>410</v>
      </c>
      <c r="N350" s="14" t="str">
        <f t="shared" si="13"/>
        <v>532210 Social- og sundhedsarbejde i private hjem, medhjælpere</v>
      </c>
      <c r="V350" t="str">
        <f t="shared" si="14"/>
        <v xml:space="preserve"> </v>
      </c>
    </row>
    <row r="351" spans="12:22" x14ac:dyDescent="0.2">
      <c r="L351" s="8">
        <v>532220</v>
      </c>
      <c r="M351" s="8" t="s">
        <v>411</v>
      </c>
      <c r="N351" s="14" t="str">
        <f t="shared" si="13"/>
        <v>532220 Social- og sundhedsarbejde i private hjem, assistenter</v>
      </c>
      <c r="V351" t="str">
        <f t="shared" si="14"/>
        <v xml:space="preserve"> </v>
      </c>
    </row>
    <row r="352" spans="12:22" x14ac:dyDescent="0.2">
      <c r="L352" s="8">
        <v>532900</v>
      </c>
      <c r="M352" s="8" t="s">
        <v>412</v>
      </c>
      <c r="N352" s="14" t="str">
        <f t="shared" si="13"/>
        <v>532900 Andet omsorgsarbejde inden for sundhedsområdet</v>
      </c>
      <c r="V352" t="str">
        <f t="shared" si="14"/>
        <v xml:space="preserve"> </v>
      </c>
    </row>
    <row r="353" spans="12:22" x14ac:dyDescent="0.2">
      <c r="L353" s="8">
        <v>541100</v>
      </c>
      <c r="M353" s="8" t="s">
        <v>413</v>
      </c>
      <c r="N353" s="14" t="str">
        <f t="shared" si="13"/>
        <v>541100 Brandslukningsarbejde</v>
      </c>
      <c r="V353" t="str">
        <f t="shared" si="14"/>
        <v xml:space="preserve"> </v>
      </c>
    </row>
    <row r="354" spans="12:22" x14ac:dyDescent="0.2">
      <c r="L354" s="8">
        <v>541200</v>
      </c>
      <c r="M354" s="8" t="s">
        <v>414</v>
      </c>
      <c r="N354" s="14" t="str">
        <f t="shared" si="13"/>
        <v>541200 Politiarbejde</v>
      </c>
      <c r="V354" t="str">
        <f t="shared" si="14"/>
        <v xml:space="preserve"> </v>
      </c>
    </row>
    <row r="355" spans="12:22" x14ac:dyDescent="0.2">
      <c r="L355" s="8">
        <v>541300</v>
      </c>
      <c r="M355" s="8" t="s">
        <v>415</v>
      </c>
      <c r="N355" s="14" t="str">
        <f t="shared" si="13"/>
        <v>541300 Fængselsbetjentarbejde</v>
      </c>
      <c r="V355" t="str">
        <f t="shared" si="14"/>
        <v xml:space="preserve"> </v>
      </c>
    </row>
    <row r="356" spans="12:22" x14ac:dyDescent="0.2">
      <c r="L356" s="8">
        <v>541400</v>
      </c>
      <c r="M356" s="8" t="s">
        <v>416</v>
      </c>
      <c r="N356" s="14" t="str">
        <f t="shared" si="13"/>
        <v>541400 Sikkerhedsvagtarbejde</v>
      </c>
      <c r="V356" t="str">
        <f t="shared" si="14"/>
        <v xml:space="preserve"> </v>
      </c>
    </row>
    <row r="357" spans="12:22" x14ac:dyDescent="0.2">
      <c r="L357" s="8">
        <v>541900</v>
      </c>
      <c r="M357" s="8" t="s">
        <v>417</v>
      </c>
      <c r="N357" s="14" t="str">
        <f t="shared" si="13"/>
        <v>541900 Andet rednings- og overvågningsarbejde (ekskl. ambulancebehandlere)</v>
      </c>
      <c r="V357" t="str">
        <f t="shared" si="14"/>
        <v xml:space="preserve"> </v>
      </c>
    </row>
    <row r="358" spans="12:22" x14ac:dyDescent="0.2">
      <c r="L358" s="8">
        <v>611100</v>
      </c>
      <c r="M358" s="8" t="s">
        <v>418</v>
      </c>
      <c r="N358" s="14" t="str">
        <f t="shared" si="13"/>
        <v>611100 Dyrkning af markafgrøder inden for jordbrug</v>
      </c>
      <c r="V358" t="str">
        <f t="shared" si="14"/>
        <v xml:space="preserve"> </v>
      </c>
    </row>
    <row r="359" spans="12:22" x14ac:dyDescent="0.2">
      <c r="L359" s="8">
        <v>611200</v>
      </c>
      <c r="M359" s="8" t="s">
        <v>419</v>
      </c>
      <c r="N359" s="14" t="str">
        <f t="shared" si="13"/>
        <v>611200 Dyrkning af afgrøder fra træer og buske</v>
      </c>
      <c r="V359" t="str">
        <f t="shared" si="14"/>
        <v xml:space="preserve"> </v>
      </c>
    </row>
    <row r="360" spans="12:22" x14ac:dyDescent="0.2">
      <c r="L360" s="8">
        <v>611310</v>
      </c>
      <c r="M360" s="8" t="s">
        <v>420</v>
      </c>
      <c r="N360" s="14" t="str">
        <f t="shared" si="13"/>
        <v>611310 Produktions- og væksthusgartnerarbejde</v>
      </c>
      <c r="V360" t="str">
        <f t="shared" si="14"/>
        <v xml:space="preserve"> </v>
      </c>
    </row>
    <row r="361" spans="12:22" x14ac:dyDescent="0.2">
      <c r="L361" s="8">
        <v>611320</v>
      </c>
      <c r="M361" s="8" t="s">
        <v>421</v>
      </c>
      <c r="N361" s="14" t="str">
        <f t="shared" si="13"/>
        <v>611320 Anlægsgartnerarbejde</v>
      </c>
      <c r="V361" t="str">
        <f t="shared" si="14"/>
        <v xml:space="preserve"> </v>
      </c>
    </row>
    <row r="362" spans="12:22" x14ac:dyDescent="0.2">
      <c r="L362" s="8">
        <v>611390</v>
      </c>
      <c r="M362" s="8" t="s">
        <v>422</v>
      </c>
      <c r="N362" s="14" t="str">
        <f t="shared" si="13"/>
        <v>611390 Andet gartnerarbejde</v>
      </c>
      <c r="V362" t="str">
        <f t="shared" si="14"/>
        <v xml:space="preserve"> </v>
      </c>
    </row>
    <row r="363" spans="12:22" x14ac:dyDescent="0.2">
      <c r="L363" s="8">
        <v>611400</v>
      </c>
      <c r="M363" s="8" t="s">
        <v>423</v>
      </c>
      <c r="N363" s="14" t="str">
        <f t="shared" si="13"/>
        <v>611400 Dyrkning af blandede afgrøder</v>
      </c>
      <c r="V363" t="str">
        <f t="shared" si="14"/>
        <v xml:space="preserve"> </v>
      </c>
    </row>
    <row r="364" spans="12:22" x14ac:dyDescent="0.2">
      <c r="L364" s="8">
        <v>612100</v>
      </c>
      <c r="M364" s="8" t="s">
        <v>424</v>
      </c>
      <c r="N364" s="14" t="str">
        <f t="shared" si="13"/>
        <v>612100 Arbejde med opdræt af husdyr, ekskl. fjerkræ</v>
      </c>
      <c r="V364" t="str">
        <f t="shared" si="14"/>
        <v xml:space="preserve"> </v>
      </c>
    </row>
    <row r="365" spans="12:22" x14ac:dyDescent="0.2">
      <c r="L365" s="8">
        <v>612200</v>
      </c>
      <c r="M365" s="8" t="s">
        <v>425</v>
      </c>
      <c r="N365" s="14" t="str">
        <f t="shared" si="13"/>
        <v>612200 Arbejde med opdræt af fjerkræ</v>
      </c>
      <c r="V365" t="str">
        <f t="shared" si="14"/>
        <v xml:space="preserve"> </v>
      </c>
    </row>
    <row r="366" spans="12:22" x14ac:dyDescent="0.2">
      <c r="L366" s="8">
        <v>612300</v>
      </c>
      <c r="M366" s="8" t="s">
        <v>426</v>
      </c>
      <c r="N366" s="14" t="str">
        <f t="shared" si="13"/>
        <v>612300 Arbejde med bi- og silkeavl</v>
      </c>
      <c r="V366" t="str">
        <f t="shared" si="14"/>
        <v xml:space="preserve"> </v>
      </c>
    </row>
    <row r="367" spans="12:22" x14ac:dyDescent="0.2">
      <c r="L367" s="8">
        <v>612900</v>
      </c>
      <c r="M367" s="8" t="s">
        <v>427</v>
      </c>
      <c r="N367" s="14" t="str">
        <f t="shared" si="13"/>
        <v>612900 Andet arbejde med dyreopdræt</v>
      </c>
      <c r="V367" t="str">
        <f t="shared" si="14"/>
        <v xml:space="preserve"> </v>
      </c>
    </row>
    <row r="368" spans="12:22" x14ac:dyDescent="0.2">
      <c r="L368" s="8">
        <v>613000</v>
      </c>
      <c r="M368" s="8" t="s">
        <v>428</v>
      </c>
      <c r="N368" s="14" t="str">
        <f t="shared" si="13"/>
        <v>613000 Arbejde med dyrkning af plantevækst og opdræt af dyr</v>
      </c>
      <c r="V368" t="str">
        <f t="shared" si="14"/>
        <v xml:space="preserve"> </v>
      </c>
    </row>
    <row r="369" spans="12:22" x14ac:dyDescent="0.2">
      <c r="L369" s="8">
        <v>621000</v>
      </c>
      <c r="M369" s="8" t="s">
        <v>429</v>
      </c>
      <c r="N369" s="14" t="str">
        <f t="shared" si="13"/>
        <v>621000 Skovbrugsarbejde</v>
      </c>
      <c r="V369" t="str">
        <f t="shared" si="14"/>
        <v xml:space="preserve"> </v>
      </c>
    </row>
    <row r="370" spans="12:22" x14ac:dyDescent="0.2">
      <c r="L370" s="8">
        <v>622100</v>
      </c>
      <c r="M370" s="8" t="s">
        <v>430</v>
      </c>
      <c r="N370" s="14" t="str">
        <f t="shared" si="13"/>
        <v>622100 Arbejde inden for akvakultur</v>
      </c>
      <c r="V370" t="str">
        <f t="shared" si="14"/>
        <v xml:space="preserve"> </v>
      </c>
    </row>
    <row r="371" spans="12:22" x14ac:dyDescent="0.2">
      <c r="L371" s="8">
        <v>622200</v>
      </c>
      <c r="M371" s="8" t="s">
        <v>431</v>
      </c>
      <c r="N371" s="14" t="str">
        <f t="shared" si="13"/>
        <v>622200 Arbejde med fiskeri i kyst- og søområder</v>
      </c>
      <c r="V371" t="str">
        <f t="shared" si="14"/>
        <v xml:space="preserve"> </v>
      </c>
    </row>
    <row r="372" spans="12:22" x14ac:dyDescent="0.2">
      <c r="L372" s="8">
        <v>622300</v>
      </c>
      <c r="M372" s="8" t="s">
        <v>432</v>
      </c>
      <c r="N372" s="14" t="str">
        <f t="shared" si="13"/>
        <v>622300 Arbejde med havfiskeri</v>
      </c>
      <c r="V372" t="str">
        <f t="shared" si="14"/>
        <v xml:space="preserve"> </v>
      </c>
    </row>
    <row r="373" spans="12:22" x14ac:dyDescent="0.2">
      <c r="L373" s="8">
        <v>622400</v>
      </c>
      <c r="M373" s="8" t="s">
        <v>433</v>
      </c>
      <c r="N373" s="14" t="str">
        <f t="shared" si="13"/>
        <v>622400 Jagtarbejde</v>
      </c>
      <c r="V373" t="str">
        <f t="shared" si="14"/>
        <v xml:space="preserve"> </v>
      </c>
    </row>
    <row r="374" spans="12:22" x14ac:dyDescent="0.2">
      <c r="L374" s="8">
        <v>711210</v>
      </c>
      <c r="M374" s="8" t="s">
        <v>434</v>
      </c>
      <c r="N374" s="14" t="str">
        <f t="shared" si="13"/>
        <v>711210 Murerarbejde</v>
      </c>
      <c r="V374" t="str">
        <f t="shared" si="14"/>
        <v xml:space="preserve"> </v>
      </c>
    </row>
    <row r="375" spans="12:22" x14ac:dyDescent="0.2">
      <c r="L375" s="8">
        <v>711220</v>
      </c>
      <c r="M375" s="8" t="s">
        <v>435</v>
      </c>
      <c r="N375" s="14" t="str">
        <f t="shared" si="13"/>
        <v>711220 Brolægningsarbejde</v>
      </c>
      <c r="V375" t="str">
        <f t="shared" si="14"/>
        <v xml:space="preserve"> </v>
      </c>
    </row>
    <row r="376" spans="12:22" x14ac:dyDescent="0.2">
      <c r="L376" s="8">
        <v>711300</v>
      </c>
      <c r="M376" s="8" t="s">
        <v>436</v>
      </c>
      <c r="N376" s="14" t="str">
        <f t="shared" si="13"/>
        <v>711300 Stenhuggerarbejde</v>
      </c>
      <c r="V376" t="str">
        <f t="shared" si="14"/>
        <v xml:space="preserve"> </v>
      </c>
    </row>
    <row r="377" spans="12:22" x14ac:dyDescent="0.2">
      <c r="L377" s="8">
        <v>711410</v>
      </c>
      <c r="M377" s="8" t="s">
        <v>437</v>
      </c>
      <c r="N377" s="14" t="str">
        <f t="shared" si="13"/>
        <v>711410 Struktørarbejde</v>
      </c>
      <c r="V377" t="str">
        <f t="shared" si="14"/>
        <v xml:space="preserve"> </v>
      </c>
    </row>
    <row r="378" spans="12:22" x14ac:dyDescent="0.2">
      <c r="L378" s="8">
        <v>711420</v>
      </c>
      <c r="M378" s="8" t="s">
        <v>438</v>
      </c>
      <c r="N378" s="14" t="str">
        <f t="shared" si="13"/>
        <v>711420 Terrazzoarbejde</v>
      </c>
      <c r="V378" t="str">
        <f t="shared" si="14"/>
        <v xml:space="preserve"> </v>
      </c>
    </row>
    <row r="379" spans="12:22" x14ac:dyDescent="0.2">
      <c r="L379" s="8">
        <v>711510</v>
      </c>
      <c r="M379" s="8" t="s">
        <v>439</v>
      </c>
      <c r="N379" s="14" t="str">
        <f t="shared" si="13"/>
        <v>711510 Tømrer- og snedkerarbejde, byggeri</v>
      </c>
      <c r="V379" t="str">
        <f t="shared" si="14"/>
        <v xml:space="preserve"> </v>
      </c>
    </row>
    <row r="380" spans="12:22" x14ac:dyDescent="0.2">
      <c r="L380" s="8">
        <v>711520</v>
      </c>
      <c r="M380" s="8" t="s">
        <v>440</v>
      </c>
      <c r="N380" s="14" t="str">
        <f t="shared" si="13"/>
        <v>711520 Tømrer- og snedkerarbejde, skibe</v>
      </c>
      <c r="V380" t="str">
        <f t="shared" si="14"/>
        <v xml:space="preserve"> </v>
      </c>
    </row>
    <row r="381" spans="12:22" x14ac:dyDescent="0.2">
      <c r="L381" s="8">
        <v>711910</v>
      </c>
      <c r="M381" s="8" t="s">
        <v>441</v>
      </c>
      <c r="N381" s="14" t="str">
        <f t="shared" si="13"/>
        <v>711910 Fremstilling af bygningskonstruktioner i stål</v>
      </c>
      <c r="V381" t="str">
        <f t="shared" si="14"/>
        <v xml:space="preserve"> </v>
      </c>
    </row>
    <row r="382" spans="12:22" x14ac:dyDescent="0.2">
      <c r="L382" s="8">
        <v>711990</v>
      </c>
      <c r="M382" s="8" t="s">
        <v>442</v>
      </c>
      <c r="N382" s="14" t="str">
        <f t="shared" si="13"/>
        <v>711990 Andet bygningsarbejde i øvrigt</v>
      </c>
      <c r="V382" t="str">
        <f t="shared" si="14"/>
        <v xml:space="preserve"> </v>
      </c>
    </row>
    <row r="383" spans="12:22" x14ac:dyDescent="0.2">
      <c r="L383" s="8">
        <v>712100</v>
      </c>
      <c r="M383" s="8" t="s">
        <v>443</v>
      </c>
      <c r="N383" s="14" t="str">
        <f t="shared" si="13"/>
        <v>712100 Arbejde med tagdækning</v>
      </c>
      <c r="V383" t="str">
        <f t="shared" si="14"/>
        <v xml:space="preserve"> </v>
      </c>
    </row>
    <row r="384" spans="12:22" x14ac:dyDescent="0.2">
      <c r="L384" s="8">
        <v>712200</v>
      </c>
      <c r="M384" s="8" t="s">
        <v>444</v>
      </c>
      <c r="N384" s="14" t="str">
        <f t="shared" si="13"/>
        <v>712200 Arbejde med gulv- og klinkelægning</v>
      </c>
      <c r="V384" t="str">
        <f t="shared" si="14"/>
        <v xml:space="preserve"> </v>
      </c>
    </row>
    <row r="385" spans="12:22" x14ac:dyDescent="0.2">
      <c r="L385" s="8">
        <v>712300</v>
      </c>
      <c r="M385" s="8" t="s">
        <v>445</v>
      </c>
      <c r="N385" s="14" t="str">
        <f t="shared" si="13"/>
        <v>712300 Stukkatørarbejde</v>
      </c>
      <c r="V385" t="str">
        <f t="shared" si="14"/>
        <v xml:space="preserve"> </v>
      </c>
    </row>
    <row r="386" spans="12:22" x14ac:dyDescent="0.2">
      <c r="L386" s="8">
        <v>712400</v>
      </c>
      <c r="M386" s="8" t="s">
        <v>446</v>
      </c>
      <c r="N386" s="14" t="str">
        <f t="shared" si="13"/>
        <v>712400 Arbejde med isolering af bygninger</v>
      </c>
      <c r="V386" t="str">
        <f t="shared" si="14"/>
        <v xml:space="preserve"> </v>
      </c>
    </row>
    <row r="387" spans="12:22" x14ac:dyDescent="0.2">
      <c r="L387" s="8">
        <v>712500</v>
      </c>
      <c r="M387" s="8" t="s">
        <v>447</v>
      </c>
      <c r="N387" s="14" t="str">
        <f t="shared" ref="N387:N450" si="15">L387&amp;" "&amp;M387</f>
        <v>712500 Glarmesterarbejde</v>
      </c>
      <c r="V387" t="str">
        <f t="shared" ref="V387:V450" si="16">CONCATENATE(T386," ",U386)</f>
        <v xml:space="preserve"> </v>
      </c>
    </row>
    <row r="388" spans="12:22" x14ac:dyDescent="0.2">
      <c r="L388" s="8">
        <v>712600</v>
      </c>
      <c r="M388" s="8" t="s">
        <v>448</v>
      </c>
      <c r="N388" s="14" t="str">
        <f t="shared" si="15"/>
        <v>712600 VVS-arbejde</v>
      </c>
      <c r="V388" t="str">
        <f t="shared" si="16"/>
        <v xml:space="preserve"> </v>
      </c>
    </row>
    <row r="389" spans="12:22" x14ac:dyDescent="0.2">
      <c r="L389" s="8">
        <v>712700</v>
      </c>
      <c r="M389" s="8" t="s">
        <v>449</v>
      </c>
      <c r="N389" s="14" t="str">
        <f t="shared" si="15"/>
        <v>712700 Montørarbejde inden for klima- og køleteknik</v>
      </c>
      <c r="V389" t="str">
        <f t="shared" si="16"/>
        <v xml:space="preserve"> </v>
      </c>
    </row>
    <row r="390" spans="12:22" x14ac:dyDescent="0.2">
      <c r="L390" s="8">
        <v>713110</v>
      </c>
      <c r="M390" s="8" t="s">
        <v>450</v>
      </c>
      <c r="N390" s="14" t="str">
        <f t="shared" si="15"/>
        <v>713110 Bygningsmaler- og tapetsererarbejde</v>
      </c>
      <c r="V390" t="str">
        <f t="shared" si="16"/>
        <v xml:space="preserve"> </v>
      </c>
    </row>
    <row r="391" spans="12:22" x14ac:dyDescent="0.2">
      <c r="L391" s="8">
        <v>713120</v>
      </c>
      <c r="M391" s="8" t="s">
        <v>451</v>
      </c>
      <c r="N391" s="14" t="str">
        <f t="shared" si="15"/>
        <v>713120 Skibsmalerarbejde</v>
      </c>
      <c r="V391" t="str">
        <f t="shared" si="16"/>
        <v xml:space="preserve"> </v>
      </c>
    </row>
    <row r="392" spans="12:22" x14ac:dyDescent="0.2">
      <c r="L392" s="8">
        <v>713200</v>
      </c>
      <c r="M392" s="8" t="s">
        <v>452</v>
      </c>
      <c r="N392" s="14" t="str">
        <f t="shared" si="15"/>
        <v>713200 Sprøjtelakererarbejde</v>
      </c>
      <c r="V392" t="str">
        <f t="shared" si="16"/>
        <v xml:space="preserve"> </v>
      </c>
    </row>
    <row r="393" spans="12:22" x14ac:dyDescent="0.2">
      <c r="L393" s="8">
        <v>713310</v>
      </c>
      <c r="M393" s="8" t="s">
        <v>453</v>
      </c>
      <c r="N393" s="14" t="str">
        <f t="shared" si="15"/>
        <v>713310 Skorstensfejerarbejde</v>
      </c>
      <c r="V393" t="str">
        <f t="shared" si="16"/>
        <v xml:space="preserve"> </v>
      </c>
    </row>
    <row r="394" spans="12:22" x14ac:dyDescent="0.2">
      <c r="L394" s="8">
        <v>713320</v>
      </c>
      <c r="M394" s="8" t="s">
        <v>454</v>
      </c>
      <c r="N394" s="14" t="str">
        <f t="shared" si="15"/>
        <v>713320 Kemisk og mekanisk rensning af bygningsoverflader</v>
      </c>
      <c r="V394" t="str">
        <f t="shared" si="16"/>
        <v xml:space="preserve"> </v>
      </c>
    </row>
    <row r="395" spans="12:22" x14ac:dyDescent="0.2">
      <c r="L395" s="8">
        <v>721100</v>
      </c>
      <c r="M395" s="8" t="s">
        <v>455</v>
      </c>
      <c r="N395" s="14" t="str">
        <f t="shared" si="15"/>
        <v>721100 Formning og støbning af emner i metal</v>
      </c>
      <c r="V395" t="str">
        <f t="shared" si="16"/>
        <v xml:space="preserve"> </v>
      </c>
    </row>
    <row r="396" spans="12:22" x14ac:dyDescent="0.2">
      <c r="L396" s="8">
        <v>721200</v>
      </c>
      <c r="M396" s="8" t="s">
        <v>456</v>
      </c>
      <c r="N396" s="14" t="str">
        <f t="shared" si="15"/>
        <v>721200 Svejsearbejde og skærebrænding</v>
      </c>
      <c r="V396" t="str">
        <f t="shared" si="16"/>
        <v xml:space="preserve"> </v>
      </c>
    </row>
    <row r="397" spans="12:22" x14ac:dyDescent="0.2">
      <c r="L397" s="8">
        <v>721300</v>
      </c>
      <c r="M397" s="8" t="s">
        <v>457</v>
      </c>
      <c r="N397" s="14" t="str">
        <f t="shared" si="15"/>
        <v>721300 Pladesmedarbejde</v>
      </c>
      <c r="V397" t="str">
        <f t="shared" si="16"/>
        <v xml:space="preserve"> </v>
      </c>
    </row>
    <row r="398" spans="12:22" x14ac:dyDescent="0.2">
      <c r="L398" s="8">
        <v>721400</v>
      </c>
      <c r="M398" s="8" t="s">
        <v>458</v>
      </c>
      <c r="N398" s="14" t="str">
        <f t="shared" si="15"/>
        <v>721400 Stålkonstruktionsarbejde</v>
      </c>
      <c r="V398" t="str">
        <f t="shared" si="16"/>
        <v xml:space="preserve"> </v>
      </c>
    </row>
    <row r="399" spans="12:22" x14ac:dyDescent="0.2">
      <c r="L399" s="8">
        <v>721500</v>
      </c>
      <c r="M399" s="8" t="s">
        <v>459</v>
      </c>
      <c r="N399" s="14" t="str">
        <f t="shared" si="15"/>
        <v>721500 Riggerarbejde</v>
      </c>
      <c r="V399" t="str">
        <f t="shared" si="16"/>
        <v xml:space="preserve"> </v>
      </c>
    </row>
    <row r="400" spans="12:22" x14ac:dyDescent="0.2">
      <c r="L400" s="8">
        <v>722100</v>
      </c>
      <c r="M400" s="8" t="s">
        <v>460</v>
      </c>
      <c r="N400" s="14" t="str">
        <f t="shared" si="15"/>
        <v>722100 Smedearbejde</v>
      </c>
      <c r="V400" t="str">
        <f t="shared" si="16"/>
        <v xml:space="preserve"> </v>
      </c>
    </row>
    <row r="401" spans="12:22" x14ac:dyDescent="0.2">
      <c r="L401" s="8">
        <v>722200</v>
      </c>
      <c r="M401" s="8" t="s">
        <v>461</v>
      </c>
      <c r="N401" s="14" t="str">
        <f t="shared" si="15"/>
        <v>722200 Værktøjsmagerarbejde</v>
      </c>
      <c r="V401" t="str">
        <f t="shared" si="16"/>
        <v xml:space="preserve"> </v>
      </c>
    </row>
    <row r="402" spans="12:22" x14ac:dyDescent="0.2">
      <c r="L402" s="8">
        <v>722300</v>
      </c>
      <c r="M402" s="8" t="s">
        <v>462</v>
      </c>
      <c r="N402" s="14" t="str">
        <f t="shared" si="15"/>
        <v>722300 Operatør- og opstillingsarbejde af metalforarbejdningsmaskiner</v>
      </c>
      <c r="V402" t="str">
        <f t="shared" si="16"/>
        <v xml:space="preserve"> </v>
      </c>
    </row>
    <row r="403" spans="12:22" x14ac:dyDescent="0.2">
      <c r="L403" s="8">
        <v>722400</v>
      </c>
      <c r="M403" s="8" t="s">
        <v>463</v>
      </c>
      <c r="N403" s="14" t="str">
        <f t="shared" si="15"/>
        <v>722400 Arbejde med polering og slibning af emner i metal</v>
      </c>
      <c r="V403" t="str">
        <f t="shared" si="16"/>
        <v xml:space="preserve"> </v>
      </c>
    </row>
    <row r="404" spans="12:22" x14ac:dyDescent="0.2">
      <c r="L404" s="8">
        <v>723110</v>
      </c>
      <c r="M404" s="8" t="s">
        <v>464</v>
      </c>
      <c r="N404" s="14" t="str">
        <f t="shared" si="15"/>
        <v>723110 Mekanikerarbejde, person- og varevogne</v>
      </c>
      <c r="V404" t="str">
        <f t="shared" si="16"/>
        <v xml:space="preserve"> </v>
      </c>
    </row>
    <row r="405" spans="12:22" x14ac:dyDescent="0.2">
      <c r="L405" s="8">
        <v>723120</v>
      </c>
      <c r="M405" s="8" t="s">
        <v>465</v>
      </c>
      <c r="N405" s="14" t="str">
        <f t="shared" si="15"/>
        <v>723120 Mekanikerarbejde, lastvogne</v>
      </c>
      <c r="V405" t="str">
        <f t="shared" si="16"/>
        <v xml:space="preserve"> </v>
      </c>
    </row>
    <row r="406" spans="12:22" x14ac:dyDescent="0.2">
      <c r="L406" s="8">
        <v>723190</v>
      </c>
      <c r="M406" s="8" t="s">
        <v>466</v>
      </c>
      <c r="N406" s="14" t="str">
        <f t="shared" si="15"/>
        <v>723190 Mekanikerarbejde, andre områder</v>
      </c>
      <c r="V406" t="str">
        <f t="shared" si="16"/>
        <v xml:space="preserve"> </v>
      </c>
    </row>
    <row r="407" spans="12:22" x14ac:dyDescent="0.2">
      <c r="L407" s="8">
        <v>723200</v>
      </c>
      <c r="M407" s="8" t="s">
        <v>467</v>
      </c>
      <c r="N407" s="14" t="str">
        <f t="shared" si="15"/>
        <v>723200 Flymekanikerarbejde</v>
      </c>
      <c r="V407" t="str">
        <f t="shared" si="16"/>
        <v xml:space="preserve"> </v>
      </c>
    </row>
    <row r="408" spans="12:22" x14ac:dyDescent="0.2">
      <c r="L408" s="8">
        <v>723300</v>
      </c>
      <c r="M408" s="8" t="s">
        <v>468</v>
      </c>
      <c r="N408" s="14" t="str">
        <f t="shared" si="15"/>
        <v>723300 Mekanikerarbejde, landbrugs- og industrimaskiner</v>
      </c>
      <c r="V408" t="str">
        <f t="shared" si="16"/>
        <v xml:space="preserve"> </v>
      </c>
    </row>
    <row r="409" spans="12:22" x14ac:dyDescent="0.2">
      <c r="L409" s="8">
        <v>723400</v>
      </c>
      <c r="M409" s="8" t="s">
        <v>469</v>
      </c>
      <c r="N409" s="14" t="str">
        <f t="shared" si="15"/>
        <v>723400 Mekanikerarbejde, cykler og tilsvarende køretøjer</v>
      </c>
      <c r="V409" t="str">
        <f t="shared" si="16"/>
        <v xml:space="preserve"> </v>
      </c>
    </row>
    <row r="410" spans="12:22" x14ac:dyDescent="0.2">
      <c r="L410" s="8">
        <v>731100</v>
      </c>
      <c r="M410" s="8" t="s">
        <v>470</v>
      </c>
      <c r="N410" s="14" t="str">
        <f t="shared" si="15"/>
        <v>731100 Finmekanikerarbejde</v>
      </c>
      <c r="V410" t="str">
        <f t="shared" si="16"/>
        <v xml:space="preserve"> </v>
      </c>
    </row>
    <row r="411" spans="12:22" x14ac:dyDescent="0.2">
      <c r="L411" s="8">
        <v>731200</v>
      </c>
      <c r="M411" s="8" t="s">
        <v>471</v>
      </c>
      <c r="N411" s="14" t="str">
        <f t="shared" si="15"/>
        <v>731200 Håndfremstilling af musikinstrumenter</v>
      </c>
      <c r="V411" t="str">
        <f t="shared" si="16"/>
        <v xml:space="preserve"> </v>
      </c>
    </row>
    <row r="412" spans="12:22" x14ac:dyDescent="0.2">
      <c r="L412" s="8">
        <v>731300</v>
      </c>
      <c r="M412" s="8" t="s">
        <v>472</v>
      </c>
      <c r="N412" s="14" t="str">
        <f t="shared" si="15"/>
        <v>731300 Juveler-, guld- og sølvsmedearbejde</v>
      </c>
      <c r="V412" t="str">
        <f t="shared" si="16"/>
        <v xml:space="preserve"> </v>
      </c>
    </row>
    <row r="413" spans="12:22" x14ac:dyDescent="0.2">
      <c r="L413" s="8">
        <v>731400</v>
      </c>
      <c r="M413" s="8" t="s">
        <v>473</v>
      </c>
      <c r="N413" s="14" t="str">
        <f t="shared" si="15"/>
        <v>731400 Pottemagerarbejde og beslægtede funktioner</v>
      </c>
      <c r="V413" t="str">
        <f t="shared" si="16"/>
        <v xml:space="preserve"> </v>
      </c>
    </row>
    <row r="414" spans="12:22" x14ac:dyDescent="0.2">
      <c r="L414" s="8">
        <v>731500</v>
      </c>
      <c r="M414" s="8" t="s">
        <v>474</v>
      </c>
      <c r="N414" s="14" t="str">
        <f t="shared" si="15"/>
        <v>731500 Glaspusterarbejde og arbejde med færdiggørelse af glasprodukter</v>
      </c>
      <c r="V414" t="str">
        <f t="shared" si="16"/>
        <v xml:space="preserve"> </v>
      </c>
    </row>
    <row r="415" spans="12:22" x14ac:dyDescent="0.2">
      <c r="L415" s="8">
        <v>731610</v>
      </c>
      <c r="M415" s="8" t="s">
        <v>475</v>
      </c>
      <c r="N415" s="14" t="str">
        <f t="shared" si="15"/>
        <v>731610 Skiltemalerarbejde</v>
      </c>
      <c r="V415" t="str">
        <f t="shared" si="16"/>
        <v xml:space="preserve"> </v>
      </c>
    </row>
    <row r="416" spans="12:22" x14ac:dyDescent="0.2">
      <c r="L416" s="8">
        <v>731620</v>
      </c>
      <c r="M416" s="8" t="s">
        <v>476</v>
      </c>
      <c r="N416" s="14" t="str">
        <f t="shared" si="15"/>
        <v>731620 Porcelænsmalerarbejde</v>
      </c>
      <c r="V416" t="str">
        <f t="shared" si="16"/>
        <v xml:space="preserve"> </v>
      </c>
    </row>
    <row r="417" spans="12:22" x14ac:dyDescent="0.2">
      <c r="L417" s="8">
        <v>731690</v>
      </c>
      <c r="M417" s="8" t="s">
        <v>477</v>
      </c>
      <c r="N417" s="14" t="str">
        <f t="shared" si="15"/>
        <v>731690 Andet male- og dekorationsarbejde inden for præcisionshåndværk</v>
      </c>
      <c r="V417" t="str">
        <f t="shared" si="16"/>
        <v xml:space="preserve"> </v>
      </c>
    </row>
    <row r="418" spans="12:22" x14ac:dyDescent="0.2">
      <c r="L418" s="8">
        <v>731700</v>
      </c>
      <c r="M418" s="8" t="s">
        <v>478</v>
      </c>
      <c r="N418" s="14" t="str">
        <f t="shared" si="15"/>
        <v>731700 Håndfremstilling af produkter i træ og tilsvarende materialer</v>
      </c>
      <c r="V418" t="str">
        <f t="shared" si="16"/>
        <v xml:space="preserve"> </v>
      </c>
    </row>
    <row r="419" spans="12:22" x14ac:dyDescent="0.2">
      <c r="L419" s="8">
        <v>731800</v>
      </c>
      <c r="M419" s="8" t="s">
        <v>479</v>
      </c>
      <c r="N419" s="14" t="str">
        <f t="shared" si="15"/>
        <v>731800 Håndfremstilling af produkter i tekstil, læder og tilsvarende materialer</v>
      </c>
      <c r="V419" t="str">
        <f t="shared" si="16"/>
        <v xml:space="preserve"> </v>
      </c>
    </row>
    <row r="420" spans="12:22" x14ac:dyDescent="0.2">
      <c r="L420" s="8">
        <v>731900</v>
      </c>
      <c r="M420" s="8" t="s">
        <v>480</v>
      </c>
      <c r="N420" s="14" t="str">
        <f t="shared" si="15"/>
        <v>731900 Andet præcisionshåndværk</v>
      </c>
      <c r="V420" t="str">
        <f t="shared" si="16"/>
        <v xml:space="preserve"> </v>
      </c>
    </row>
    <row r="421" spans="12:22" x14ac:dyDescent="0.2">
      <c r="L421" s="8">
        <v>732100</v>
      </c>
      <c r="M421" s="8" t="s">
        <v>481</v>
      </c>
      <c r="N421" s="14" t="str">
        <f t="shared" si="15"/>
        <v>732100 Prepressarbejde og grafisk formfremstilling</v>
      </c>
      <c r="V421" t="str">
        <f t="shared" si="16"/>
        <v xml:space="preserve"> </v>
      </c>
    </row>
    <row r="422" spans="12:22" x14ac:dyDescent="0.2">
      <c r="L422" s="8">
        <v>732200</v>
      </c>
      <c r="M422" s="8" t="s">
        <v>482</v>
      </c>
      <c r="N422" s="14" t="str">
        <f t="shared" si="15"/>
        <v>732200 Trykkerarbejde</v>
      </c>
      <c r="V422" t="str">
        <f t="shared" si="16"/>
        <v xml:space="preserve"> </v>
      </c>
    </row>
    <row r="423" spans="12:22" x14ac:dyDescent="0.2">
      <c r="L423" s="8">
        <v>732300</v>
      </c>
      <c r="M423" s="8" t="s">
        <v>483</v>
      </c>
      <c r="N423" s="14" t="str">
        <f t="shared" si="15"/>
        <v>732300 Arbejde med færdiggørelse og indbinding af trykte produkter</v>
      </c>
      <c r="V423" t="str">
        <f t="shared" si="16"/>
        <v xml:space="preserve"> </v>
      </c>
    </row>
    <row r="424" spans="12:22" x14ac:dyDescent="0.2">
      <c r="L424" s="8">
        <v>741100</v>
      </c>
      <c r="M424" s="8" t="s">
        <v>484</v>
      </c>
      <c r="N424" s="14" t="str">
        <f t="shared" si="15"/>
        <v>741100 Elektrikerarbejde</v>
      </c>
      <c r="V424" t="str">
        <f t="shared" si="16"/>
        <v xml:space="preserve"> </v>
      </c>
    </row>
    <row r="425" spans="12:22" x14ac:dyDescent="0.2">
      <c r="L425" s="8">
        <v>741200</v>
      </c>
      <c r="M425" s="8" t="s">
        <v>485</v>
      </c>
      <c r="N425" s="14" t="str">
        <f t="shared" si="15"/>
        <v>741200 Elektromekanikerarbejde</v>
      </c>
      <c r="V425" t="str">
        <f t="shared" si="16"/>
        <v xml:space="preserve"> </v>
      </c>
    </row>
    <row r="426" spans="12:22" x14ac:dyDescent="0.2">
      <c r="L426" s="8">
        <v>741300</v>
      </c>
      <c r="M426" s="8" t="s">
        <v>486</v>
      </c>
      <c r="N426" s="14" t="str">
        <f t="shared" si="15"/>
        <v>741300 Installation og reparation af elektrisk ledningsføring inden for forsyningsvirksomhed</v>
      </c>
      <c r="V426" t="str">
        <f t="shared" si="16"/>
        <v xml:space="preserve"> </v>
      </c>
    </row>
    <row r="427" spans="12:22" x14ac:dyDescent="0.2">
      <c r="L427" s="8">
        <v>742100</v>
      </c>
      <c r="M427" s="8" t="s">
        <v>487</v>
      </c>
      <c r="N427" s="14" t="str">
        <f t="shared" si="15"/>
        <v>742100 Elektronikmekanikerarbejde</v>
      </c>
      <c r="V427" t="str">
        <f t="shared" si="16"/>
        <v xml:space="preserve"> </v>
      </c>
    </row>
    <row r="428" spans="12:22" x14ac:dyDescent="0.2">
      <c r="L428" s="8">
        <v>742200</v>
      </c>
      <c r="M428" s="8" t="s">
        <v>488</v>
      </c>
      <c r="N428" s="14" t="str">
        <f t="shared" si="15"/>
        <v>742200 Installation og service inden for informations- og kommunikationsteknologi</v>
      </c>
      <c r="V428" t="str">
        <f t="shared" si="16"/>
        <v xml:space="preserve"> </v>
      </c>
    </row>
    <row r="429" spans="12:22" x14ac:dyDescent="0.2">
      <c r="L429" s="8">
        <v>751110</v>
      </c>
      <c r="M429" s="8" t="s">
        <v>489</v>
      </c>
      <c r="N429" s="14" t="str">
        <f t="shared" si="15"/>
        <v>751110 Slagterarbejde i detailhandelen</v>
      </c>
      <c r="V429" t="str">
        <f t="shared" si="16"/>
        <v xml:space="preserve"> </v>
      </c>
    </row>
    <row r="430" spans="12:22" x14ac:dyDescent="0.2">
      <c r="L430" s="8">
        <v>751120</v>
      </c>
      <c r="M430" s="8" t="s">
        <v>490</v>
      </c>
      <c r="N430" s="14" t="str">
        <f t="shared" si="15"/>
        <v>751120 Håndforarbejdning af fisk og skaldyr i detailhandelen</v>
      </c>
      <c r="V430" t="str">
        <f t="shared" si="16"/>
        <v xml:space="preserve"> </v>
      </c>
    </row>
    <row r="431" spans="12:22" x14ac:dyDescent="0.2">
      <c r="L431" s="8">
        <v>751190</v>
      </c>
      <c r="M431" s="8" t="s">
        <v>491</v>
      </c>
      <c r="N431" s="14" t="str">
        <f t="shared" si="15"/>
        <v>751190 Anden håndforarbejdning af fødevarer i detailhandelen</v>
      </c>
      <c r="V431" t="str">
        <f t="shared" si="16"/>
        <v xml:space="preserve"> </v>
      </c>
    </row>
    <row r="432" spans="12:22" x14ac:dyDescent="0.2">
      <c r="L432" s="8">
        <v>751200</v>
      </c>
      <c r="M432" s="8" t="s">
        <v>492</v>
      </c>
      <c r="N432" s="14" t="str">
        <f t="shared" si="15"/>
        <v>751200 Bager- og konditorarbejde, ekskl. industri</v>
      </c>
      <c r="V432" t="str">
        <f t="shared" si="16"/>
        <v xml:space="preserve"> </v>
      </c>
    </row>
    <row r="433" spans="12:22" x14ac:dyDescent="0.2">
      <c r="L433" s="8">
        <v>751300</v>
      </c>
      <c r="M433" s="8" t="s">
        <v>493</v>
      </c>
      <c r="N433" s="14" t="str">
        <f t="shared" si="15"/>
        <v>751300 Fremstilling af mejeriprodukter</v>
      </c>
      <c r="V433" t="str">
        <f t="shared" si="16"/>
        <v xml:space="preserve"> </v>
      </c>
    </row>
    <row r="434" spans="12:22" x14ac:dyDescent="0.2">
      <c r="L434" s="8">
        <v>751400</v>
      </c>
      <c r="M434" s="8" t="s">
        <v>494</v>
      </c>
      <c r="N434" s="14" t="str">
        <f t="shared" si="15"/>
        <v>751400 Fremstilling og konservering af frugt, grøntsager og tilsvarende produkter</v>
      </c>
      <c r="V434" t="str">
        <f t="shared" si="16"/>
        <v xml:space="preserve"> </v>
      </c>
    </row>
    <row r="435" spans="12:22" x14ac:dyDescent="0.2">
      <c r="L435" s="8">
        <v>751500</v>
      </c>
      <c r="M435" s="8" t="s">
        <v>495</v>
      </c>
      <c r="N435" s="14" t="str">
        <f t="shared" si="15"/>
        <v>751500 Prøvesmagning af nærings- og nydelsesmidler</v>
      </c>
      <c r="V435" t="str">
        <f t="shared" si="16"/>
        <v xml:space="preserve"> </v>
      </c>
    </row>
    <row r="436" spans="12:22" x14ac:dyDescent="0.2">
      <c r="L436" s="8">
        <v>751600</v>
      </c>
      <c r="M436" s="8" t="s">
        <v>496</v>
      </c>
      <c r="N436" s="14" t="str">
        <f t="shared" si="15"/>
        <v>751600 Fremstilling af tobaksprodukter</v>
      </c>
      <c r="V436" t="str">
        <f t="shared" si="16"/>
        <v xml:space="preserve"> </v>
      </c>
    </row>
    <row r="437" spans="12:22" x14ac:dyDescent="0.2">
      <c r="L437" s="8">
        <v>752100</v>
      </c>
      <c r="M437" s="8" t="s">
        <v>497</v>
      </c>
      <c r="N437" s="14" t="str">
        <f t="shared" si="15"/>
        <v>752100 Håndværkspræget træimprægneringsarbejde</v>
      </c>
      <c r="V437" t="str">
        <f t="shared" si="16"/>
        <v xml:space="preserve"> </v>
      </c>
    </row>
    <row r="438" spans="12:22" x14ac:dyDescent="0.2">
      <c r="L438" s="8">
        <v>752200</v>
      </c>
      <c r="M438" s="8" t="s">
        <v>498</v>
      </c>
      <c r="N438" s="14" t="str">
        <f t="shared" si="15"/>
        <v>752200 Møbelsnedkerarbejde</v>
      </c>
      <c r="V438" t="str">
        <f t="shared" si="16"/>
        <v xml:space="preserve"> </v>
      </c>
    </row>
    <row r="439" spans="12:22" x14ac:dyDescent="0.2">
      <c r="L439" s="8">
        <v>752300</v>
      </c>
      <c r="M439" s="8" t="s">
        <v>499</v>
      </c>
      <c r="N439" s="14" t="str">
        <f t="shared" si="15"/>
        <v>752300 Operatør- og opstillingsarbejde af træbearbejdningsmaskiner</v>
      </c>
      <c r="V439" t="str">
        <f t="shared" si="16"/>
        <v xml:space="preserve"> </v>
      </c>
    </row>
    <row r="440" spans="12:22" x14ac:dyDescent="0.2">
      <c r="L440" s="8">
        <v>753100</v>
      </c>
      <c r="M440" s="8" t="s">
        <v>500</v>
      </c>
      <c r="N440" s="14" t="str">
        <f t="shared" si="15"/>
        <v>753100 Skrædderarbejde og beslægtet arbejde</v>
      </c>
      <c r="V440" t="str">
        <f t="shared" si="16"/>
        <v xml:space="preserve"> </v>
      </c>
    </row>
    <row r="441" spans="12:22" x14ac:dyDescent="0.2">
      <c r="L441" s="8">
        <v>753200</v>
      </c>
      <c r="M441" s="8" t="s">
        <v>501</v>
      </c>
      <c r="N441" s="14" t="str">
        <f t="shared" si="15"/>
        <v>753200 Tilskærerarbejde</v>
      </c>
      <c r="V441" t="str">
        <f t="shared" si="16"/>
        <v xml:space="preserve"> </v>
      </c>
    </row>
    <row r="442" spans="12:22" x14ac:dyDescent="0.2">
      <c r="L442" s="8">
        <v>753300</v>
      </c>
      <c r="M442" s="8" t="s">
        <v>502</v>
      </c>
      <c r="N442" s="14" t="str">
        <f t="shared" si="15"/>
        <v>753300 Syarbejde og beslægtet arbejde</v>
      </c>
      <c r="V442" t="str">
        <f t="shared" si="16"/>
        <v xml:space="preserve"> </v>
      </c>
    </row>
    <row r="443" spans="12:22" x14ac:dyDescent="0.2">
      <c r="L443" s="8">
        <v>753400</v>
      </c>
      <c r="M443" s="8" t="s">
        <v>503</v>
      </c>
      <c r="N443" s="14" t="str">
        <f t="shared" si="15"/>
        <v>753400 Møbelpolstrerarbejde</v>
      </c>
      <c r="V443" t="str">
        <f t="shared" si="16"/>
        <v xml:space="preserve"> </v>
      </c>
    </row>
    <row r="444" spans="12:22" x14ac:dyDescent="0.2">
      <c r="L444" s="8">
        <v>753500</v>
      </c>
      <c r="M444" s="8" t="s">
        <v>504</v>
      </c>
      <c r="N444" s="14" t="str">
        <f t="shared" si="15"/>
        <v>753500 Forarbejdning af skind</v>
      </c>
      <c r="V444" t="str">
        <f t="shared" si="16"/>
        <v xml:space="preserve"> </v>
      </c>
    </row>
    <row r="445" spans="12:22" x14ac:dyDescent="0.2">
      <c r="L445" s="8">
        <v>753600</v>
      </c>
      <c r="M445" s="8" t="s">
        <v>505</v>
      </c>
      <c r="N445" s="14" t="str">
        <f t="shared" si="15"/>
        <v>753600 Skomagerarbejde og beslægtet arbejde</v>
      </c>
      <c r="V445" t="str">
        <f t="shared" si="16"/>
        <v xml:space="preserve"> </v>
      </c>
    </row>
    <row r="446" spans="12:22" x14ac:dyDescent="0.2">
      <c r="L446" s="8">
        <v>754100</v>
      </c>
      <c r="M446" s="8" t="s">
        <v>506</v>
      </c>
      <c r="N446" s="14" t="str">
        <f t="shared" si="15"/>
        <v>754100 Dykkerarbejde</v>
      </c>
      <c r="V446" t="str">
        <f t="shared" si="16"/>
        <v xml:space="preserve"> </v>
      </c>
    </row>
    <row r="447" spans="12:22" x14ac:dyDescent="0.2">
      <c r="L447" s="8">
        <v>754200</v>
      </c>
      <c r="M447" s="8" t="s">
        <v>507</v>
      </c>
      <c r="N447" s="14" t="str">
        <f t="shared" si="15"/>
        <v>754200 Sprængnings- og fyrværkeriarbejde</v>
      </c>
      <c r="V447" t="str">
        <f t="shared" si="16"/>
        <v xml:space="preserve"> </v>
      </c>
    </row>
    <row r="448" spans="12:22" x14ac:dyDescent="0.2">
      <c r="L448" s="8">
        <v>754300</v>
      </c>
      <c r="M448" s="8" t="s">
        <v>508</v>
      </c>
      <c r="N448" s="14" t="str">
        <f t="shared" si="15"/>
        <v>754300 Kvalitetskontrol og testarbejde af produkter (undtagen nærings- og nydelsesmidler)</v>
      </c>
      <c r="V448" t="str">
        <f t="shared" si="16"/>
        <v xml:space="preserve"> </v>
      </c>
    </row>
    <row r="449" spans="12:22" x14ac:dyDescent="0.2">
      <c r="L449" s="8">
        <v>754400</v>
      </c>
      <c r="M449" s="8" t="s">
        <v>509</v>
      </c>
      <c r="N449" s="14" t="str">
        <f t="shared" si="15"/>
        <v>754400 Desinfektionsarbejde og skadedyrsbekæmpelse</v>
      </c>
      <c r="V449" t="str">
        <f t="shared" si="16"/>
        <v xml:space="preserve"> </v>
      </c>
    </row>
    <row r="450" spans="12:22" x14ac:dyDescent="0.2">
      <c r="L450" s="8">
        <v>754900</v>
      </c>
      <c r="M450" s="8" t="s">
        <v>510</v>
      </c>
      <c r="N450" s="14" t="str">
        <f t="shared" si="15"/>
        <v>754900 Håndværkspræget arbejde ikke klassificeret andetsteds</v>
      </c>
      <c r="V450" t="str">
        <f t="shared" si="16"/>
        <v xml:space="preserve"> </v>
      </c>
    </row>
    <row r="451" spans="12:22" x14ac:dyDescent="0.2">
      <c r="L451" s="8">
        <v>811100</v>
      </c>
      <c r="M451" s="8" t="s">
        <v>511</v>
      </c>
      <c r="N451" s="14" t="str">
        <f t="shared" ref="N451:N514" si="17">L451&amp;" "&amp;M451</f>
        <v>811100 Mine- og stenbrudsarbejde</v>
      </c>
      <c r="V451" t="str">
        <f t="shared" ref="V451:V514" si="18">CONCATENATE(T450," ",U450)</f>
        <v xml:space="preserve"> </v>
      </c>
    </row>
    <row r="452" spans="12:22" x14ac:dyDescent="0.2">
      <c r="L452" s="8">
        <v>811200</v>
      </c>
      <c r="M452" s="8" t="s">
        <v>512</v>
      </c>
      <c r="N452" s="14" t="str">
        <f t="shared" si="17"/>
        <v>811200 Operatørarbejde ved anlæg til råstofudvinding</v>
      </c>
      <c r="V452" t="str">
        <f t="shared" si="18"/>
        <v xml:space="preserve"> </v>
      </c>
    </row>
    <row r="453" spans="12:22" x14ac:dyDescent="0.2">
      <c r="L453" s="8">
        <v>811300</v>
      </c>
      <c r="M453" s="8" t="s">
        <v>513</v>
      </c>
      <c r="N453" s="14" t="str">
        <f t="shared" si="17"/>
        <v>811300 Boreanlægsarbejde</v>
      </c>
      <c r="V453" t="str">
        <f t="shared" si="18"/>
        <v xml:space="preserve"> </v>
      </c>
    </row>
    <row r="454" spans="12:22" x14ac:dyDescent="0.2">
      <c r="L454" s="8">
        <v>811400</v>
      </c>
      <c r="M454" s="8" t="s">
        <v>514</v>
      </c>
      <c r="N454" s="14" t="str">
        <f t="shared" si="17"/>
        <v>811400 Operatørarbejde ved fremstilling af cement-, sten- og andre råstofprodukter</v>
      </c>
      <c r="V454" t="str">
        <f t="shared" si="18"/>
        <v xml:space="preserve"> </v>
      </c>
    </row>
    <row r="455" spans="12:22" x14ac:dyDescent="0.2">
      <c r="L455" s="8">
        <v>812100</v>
      </c>
      <c r="M455" s="8" t="s">
        <v>515</v>
      </c>
      <c r="N455" s="14" t="str">
        <f t="shared" si="17"/>
        <v>812100 Operatørarbejde ved forarbejdning af metal</v>
      </c>
      <c r="V455" t="str">
        <f t="shared" si="18"/>
        <v xml:space="preserve"> </v>
      </c>
    </row>
    <row r="456" spans="12:22" x14ac:dyDescent="0.2">
      <c r="L456" s="8">
        <v>812200</v>
      </c>
      <c r="M456" s="8" t="s">
        <v>516</v>
      </c>
      <c r="N456" s="14" t="str">
        <f t="shared" si="17"/>
        <v>812200 Operatørarbejde ved overfladebehandling af metal</v>
      </c>
      <c r="V456" t="str">
        <f t="shared" si="18"/>
        <v xml:space="preserve"> </v>
      </c>
    </row>
    <row r="457" spans="12:22" x14ac:dyDescent="0.2">
      <c r="L457" s="8">
        <v>813110</v>
      </c>
      <c r="M457" s="8" t="s">
        <v>517</v>
      </c>
      <c r="N457" s="14" t="str">
        <f t="shared" si="17"/>
        <v>813110 Operatørarbejde ved fremstilling af kemiske produkter i medicinalindustri</v>
      </c>
      <c r="V457" t="str">
        <f t="shared" si="18"/>
        <v xml:space="preserve"> </v>
      </c>
    </row>
    <row r="458" spans="12:22" x14ac:dyDescent="0.2">
      <c r="L458" s="8">
        <v>813120</v>
      </c>
      <c r="M458" s="8" t="s">
        <v>518</v>
      </c>
      <c r="N458" s="14" t="str">
        <f t="shared" si="17"/>
        <v>813120 Operatørarbejde ved fremstilling af kemiske produkter ekskl. medicinalindustri</v>
      </c>
      <c r="V458" t="str">
        <f t="shared" si="18"/>
        <v xml:space="preserve"> </v>
      </c>
    </row>
    <row r="459" spans="12:22" x14ac:dyDescent="0.2">
      <c r="L459" s="8">
        <v>813200</v>
      </c>
      <c r="M459" s="8" t="s">
        <v>519</v>
      </c>
      <c r="N459" s="14" t="str">
        <f t="shared" si="17"/>
        <v>813200 Operatørarbejde ved fremstilling af fotografiske produkter</v>
      </c>
      <c r="V459" t="str">
        <f t="shared" si="18"/>
        <v xml:space="preserve"> </v>
      </c>
    </row>
    <row r="460" spans="12:22" x14ac:dyDescent="0.2">
      <c r="L460" s="8">
        <v>814100</v>
      </c>
      <c r="M460" s="8" t="s">
        <v>520</v>
      </c>
      <c r="N460" s="14" t="str">
        <f t="shared" si="17"/>
        <v>814100 Operatørarbejde ved fremstilling af gummiprodukter</v>
      </c>
      <c r="V460" t="str">
        <f t="shared" si="18"/>
        <v xml:space="preserve"> </v>
      </c>
    </row>
    <row r="461" spans="12:22" x14ac:dyDescent="0.2">
      <c r="L461" s="8">
        <v>814210</v>
      </c>
      <c r="M461" s="8" t="s">
        <v>521</v>
      </c>
      <c r="N461" s="14" t="str">
        <f t="shared" si="17"/>
        <v>814210 Operatørarbejde ved fremstilling af plast til videreforarbejdning</v>
      </c>
      <c r="V461" t="str">
        <f t="shared" si="18"/>
        <v xml:space="preserve"> </v>
      </c>
    </row>
    <row r="462" spans="12:22" x14ac:dyDescent="0.2">
      <c r="L462" s="8">
        <v>814220</v>
      </c>
      <c r="M462" s="8" t="s">
        <v>522</v>
      </c>
      <c r="N462" s="14" t="str">
        <f t="shared" si="17"/>
        <v>814220 Operatørarbejde ved fremstilling af plastprodukter</v>
      </c>
      <c r="V462" t="str">
        <f t="shared" si="18"/>
        <v xml:space="preserve"> </v>
      </c>
    </row>
    <row r="463" spans="12:22" x14ac:dyDescent="0.2">
      <c r="L463" s="8">
        <v>814300</v>
      </c>
      <c r="M463" s="8" t="s">
        <v>523</v>
      </c>
      <c r="N463" s="14" t="str">
        <f t="shared" si="17"/>
        <v>814300 Operatørarbejde ved fremstilling af papirprodukter</v>
      </c>
      <c r="V463" t="str">
        <f t="shared" si="18"/>
        <v xml:space="preserve"> </v>
      </c>
    </row>
    <row r="464" spans="12:22" x14ac:dyDescent="0.2">
      <c r="L464" s="8">
        <v>815100</v>
      </c>
      <c r="M464" s="8" t="s">
        <v>524</v>
      </c>
      <c r="N464" s="14" t="str">
        <f t="shared" si="17"/>
        <v>815100 Operatørarbejde ved forarbejdning af materialer i fiber og tekstil</v>
      </c>
      <c r="V464" t="str">
        <f t="shared" si="18"/>
        <v xml:space="preserve"> </v>
      </c>
    </row>
    <row r="465" spans="12:22" x14ac:dyDescent="0.2">
      <c r="L465" s="8">
        <v>815200</v>
      </c>
      <c r="M465" s="8" t="s">
        <v>525</v>
      </c>
      <c r="N465" s="14" t="str">
        <f t="shared" si="17"/>
        <v>815200 Operatørarbejde ved vævning og strikning</v>
      </c>
      <c r="V465" t="str">
        <f t="shared" si="18"/>
        <v xml:space="preserve"> </v>
      </c>
    </row>
    <row r="466" spans="12:22" x14ac:dyDescent="0.2">
      <c r="L466" s="8">
        <v>815300</v>
      </c>
      <c r="M466" s="8" t="s">
        <v>526</v>
      </c>
      <c r="N466" s="14" t="str">
        <f t="shared" si="17"/>
        <v>815300 Operatørarbejde af symaskiner</v>
      </c>
      <c r="V466" t="str">
        <f t="shared" si="18"/>
        <v xml:space="preserve"> </v>
      </c>
    </row>
    <row r="467" spans="12:22" x14ac:dyDescent="0.2">
      <c r="L467" s="8">
        <v>815400</v>
      </c>
      <c r="M467" s="8" t="s">
        <v>527</v>
      </c>
      <c r="N467" s="14" t="str">
        <f t="shared" si="17"/>
        <v>815400 Operatørarbejde ved blegning, farvning og rensning af tekstiler</v>
      </c>
      <c r="V467" t="str">
        <f t="shared" si="18"/>
        <v xml:space="preserve"> </v>
      </c>
    </row>
    <row r="468" spans="12:22" x14ac:dyDescent="0.2">
      <c r="L468" s="8">
        <v>815500</v>
      </c>
      <c r="M468" s="8" t="s">
        <v>528</v>
      </c>
      <c r="N468" s="14" t="str">
        <f t="shared" si="17"/>
        <v>815500 Operatørarbejde ved klargøring af pels og læder</v>
      </c>
      <c r="V468" t="str">
        <f t="shared" si="18"/>
        <v xml:space="preserve"> </v>
      </c>
    </row>
    <row r="469" spans="12:22" x14ac:dyDescent="0.2">
      <c r="L469" s="8">
        <v>815600</v>
      </c>
      <c r="M469" s="8" t="s">
        <v>529</v>
      </c>
      <c r="N469" s="14" t="str">
        <f t="shared" si="17"/>
        <v>815600 Operatørarbejde ved fremstilling af fodtøj og tilsvarende produkter</v>
      </c>
      <c r="V469" t="str">
        <f t="shared" si="18"/>
        <v xml:space="preserve"> </v>
      </c>
    </row>
    <row r="470" spans="12:22" x14ac:dyDescent="0.2">
      <c r="L470" s="8">
        <v>815700</v>
      </c>
      <c r="M470" s="8" t="s">
        <v>530</v>
      </c>
      <c r="N470" s="14" t="str">
        <f t="shared" si="17"/>
        <v>815700 Operatørarbejde af vaskemaskiner</v>
      </c>
      <c r="V470" t="str">
        <f t="shared" si="18"/>
        <v xml:space="preserve"> </v>
      </c>
    </row>
    <row r="471" spans="12:22" x14ac:dyDescent="0.2">
      <c r="L471" s="8">
        <v>815900</v>
      </c>
      <c r="M471" s="8" t="s">
        <v>531</v>
      </c>
      <c r="N471" s="14" t="str">
        <f t="shared" si="17"/>
        <v>815900 Andet operatørarbejde ved fremstilling af tekstil-, pels- og læderprodukter</v>
      </c>
      <c r="V471" t="str">
        <f t="shared" si="18"/>
        <v xml:space="preserve"> </v>
      </c>
    </row>
    <row r="472" spans="12:22" x14ac:dyDescent="0.2">
      <c r="L472" s="8">
        <v>816010</v>
      </c>
      <c r="M472" s="8" t="s">
        <v>532</v>
      </c>
      <c r="N472" s="14" t="str">
        <f t="shared" si="17"/>
        <v>816010 Industrielt slagteriarbejde og behandling af råvarer (ekskl. fjerkræ)</v>
      </c>
      <c r="V472" t="str">
        <f t="shared" si="18"/>
        <v xml:space="preserve"> </v>
      </c>
    </row>
    <row r="473" spans="12:22" x14ac:dyDescent="0.2">
      <c r="L473" s="8">
        <v>816020</v>
      </c>
      <c r="M473" s="8" t="s">
        <v>533</v>
      </c>
      <c r="N473" s="14" t="str">
        <f t="shared" si="17"/>
        <v>816020 Industrielt slagteriarbejde og behandling af råvarer, fjerkræ</v>
      </c>
      <c r="V473" t="str">
        <f t="shared" si="18"/>
        <v xml:space="preserve"> </v>
      </c>
    </row>
    <row r="474" spans="12:22" x14ac:dyDescent="0.2">
      <c r="L474" s="8">
        <v>816030</v>
      </c>
      <c r="M474" s="8" t="s">
        <v>534</v>
      </c>
      <c r="N474" s="14" t="str">
        <f t="shared" si="17"/>
        <v>816030 Behandling af råvarer i fiskeindustri</v>
      </c>
      <c r="V474" t="str">
        <f t="shared" si="18"/>
        <v xml:space="preserve"> </v>
      </c>
    </row>
    <row r="475" spans="12:22" x14ac:dyDescent="0.2">
      <c r="L475" s="8">
        <v>816040</v>
      </c>
      <c r="M475" s="8" t="s">
        <v>535</v>
      </c>
      <c r="N475" s="14" t="str">
        <f t="shared" si="17"/>
        <v>816040 Arbejde med færdigvareproduktion i nærings- og nydelsesmiddelindustri</v>
      </c>
      <c r="V475" t="str">
        <f t="shared" si="18"/>
        <v xml:space="preserve"> </v>
      </c>
    </row>
    <row r="476" spans="12:22" x14ac:dyDescent="0.2">
      <c r="L476" s="8">
        <v>817100</v>
      </c>
      <c r="M476" s="8" t="s">
        <v>536</v>
      </c>
      <c r="N476" s="14" t="str">
        <f t="shared" si="17"/>
        <v>817100 Operatørarbejde ved fremstilling af papirmasse og papirprodukter</v>
      </c>
      <c r="V476" t="str">
        <f t="shared" si="18"/>
        <v xml:space="preserve"> </v>
      </c>
    </row>
    <row r="477" spans="12:22" x14ac:dyDescent="0.2">
      <c r="L477" s="8">
        <v>817200</v>
      </c>
      <c r="M477" s="8" t="s">
        <v>537</v>
      </c>
      <c r="N477" s="14" t="str">
        <f t="shared" si="17"/>
        <v>817200 Operatørarbejde ved træforarbejdning</v>
      </c>
      <c r="V477" t="str">
        <f t="shared" si="18"/>
        <v xml:space="preserve"> </v>
      </c>
    </row>
    <row r="478" spans="12:22" x14ac:dyDescent="0.2">
      <c r="L478" s="8">
        <v>818100</v>
      </c>
      <c r="M478" s="8" t="s">
        <v>538</v>
      </c>
      <c r="N478" s="14" t="str">
        <f t="shared" si="17"/>
        <v>818100 Operatørarbejde ved fremstilling af glas og keramik</v>
      </c>
      <c r="V478" t="str">
        <f t="shared" si="18"/>
        <v xml:space="preserve"> </v>
      </c>
    </row>
    <row r="479" spans="12:22" x14ac:dyDescent="0.2">
      <c r="L479" s="8">
        <v>818210</v>
      </c>
      <c r="M479" s="8" t="s">
        <v>539</v>
      </c>
      <c r="N479" s="14" t="str">
        <f t="shared" si="17"/>
        <v>818210 Operatørarbejde ved dampmaskine- og kedelanlæg i forsyningsindustri</v>
      </c>
      <c r="V479" t="str">
        <f t="shared" si="18"/>
        <v xml:space="preserve"> </v>
      </c>
    </row>
    <row r="480" spans="12:22" x14ac:dyDescent="0.2">
      <c r="L480" s="8">
        <v>818290</v>
      </c>
      <c r="M480" s="8" t="s">
        <v>540</v>
      </c>
      <c r="N480" s="14" t="str">
        <f t="shared" si="17"/>
        <v>818290 Andet operatørarbejde ved dampmaskine- og kedelanlæg</v>
      </c>
      <c r="V480" t="str">
        <f t="shared" si="18"/>
        <v xml:space="preserve"> </v>
      </c>
    </row>
    <row r="481" spans="12:22" x14ac:dyDescent="0.2">
      <c r="L481" s="8">
        <v>818300</v>
      </c>
      <c r="M481" s="8" t="s">
        <v>541</v>
      </c>
      <c r="N481" s="14" t="str">
        <f t="shared" si="17"/>
        <v>818300 Operatørarbejde af maskiner til pakning, påfyldning og mærkning</v>
      </c>
      <c r="V481" t="str">
        <f t="shared" si="18"/>
        <v xml:space="preserve"> </v>
      </c>
    </row>
    <row r="482" spans="12:22" x14ac:dyDescent="0.2">
      <c r="L482" s="8">
        <v>818910</v>
      </c>
      <c r="M482" s="8" t="s">
        <v>542</v>
      </c>
      <c r="N482" s="14" t="str">
        <f t="shared" si="17"/>
        <v>818910 Operatørarbejde ved stationære anlæg inden for vandforsyning og forbrændnings- og rensningsanlæg</v>
      </c>
      <c r="V482" t="str">
        <f t="shared" si="18"/>
        <v xml:space="preserve"> </v>
      </c>
    </row>
    <row r="483" spans="12:22" x14ac:dyDescent="0.2">
      <c r="L483" s="8">
        <v>818990</v>
      </c>
      <c r="M483" s="8" t="s">
        <v>543</v>
      </c>
      <c r="N483" s="14" t="str">
        <f t="shared" si="17"/>
        <v>818990 Andet operatørarbejde ved stationære anlæg og maskiner</v>
      </c>
      <c r="V483" t="str">
        <f t="shared" si="18"/>
        <v xml:space="preserve"> </v>
      </c>
    </row>
    <row r="484" spans="12:22" x14ac:dyDescent="0.2">
      <c r="L484" s="8">
        <v>821100</v>
      </c>
      <c r="M484" s="8" t="s">
        <v>544</v>
      </c>
      <c r="N484" s="14" t="str">
        <f t="shared" si="17"/>
        <v>821100 Monteringsarbejde af mekaniske maskiner</v>
      </c>
      <c r="V484" t="str">
        <f t="shared" si="18"/>
        <v xml:space="preserve"> </v>
      </c>
    </row>
    <row r="485" spans="12:22" x14ac:dyDescent="0.2">
      <c r="L485" s="8">
        <v>821200</v>
      </c>
      <c r="M485" s="8" t="s">
        <v>545</v>
      </c>
      <c r="N485" s="14" t="str">
        <f t="shared" si="17"/>
        <v>821200 Monteringsarbejde af elektrisk og elektronisk udstyr</v>
      </c>
      <c r="V485" t="str">
        <f t="shared" si="18"/>
        <v xml:space="preserve"> </v>
      </c>
    </row>
    <row r="486" spans="12:22" x14ac:dyDescent="0.2">
      <c r="L486" s="8">
        <v>821900</v>
      </c>
      <c r="M486" s="8" t="s">
        <v>546</v>
      </c>
      <c r="N486" s="14" t="str">
        <f t="shared" si="17"/>
        <v>821900 Andet monteringsarbejde</v>
      </c>
      <c r="V486" t="str">
        <f t="shared" si="18"/>
        <v xml:space="preserve"> </v>
      </c>
    </row>
    <row r="487" spans="12:22" x14ac:dyDescent="0.2">
      <c r="L487" s="8">
        <v>831100</v>
      </c>
      <c r="M487" s="8" t="s">
        <v>547</v>
      </c>
      <c r="N487" s="14" t="str">
        <f t="shared" si="17"/>
        <v>831100 Togførerarbejde</v>
      </c>
      <c r="V487" t="str">
        <f t="shared" si="18"/>
        <v xml:space="preserve"> </v>
      </c>
    </row>
    <row r="488" spans="12:22" x14ac:dyDescent="0.2">
      <c r="L488" s="8">
        <v>831200</v>
      </c>
      <c r="M488" s="8" t="s">
        <v>548</v>
      </c>
      <c r="N488" s="14" t="str">
        <f t="shared" si="17"/>
        <v>831200 Tograngering</v>
      </c>
      <c r="V488" t="str">
        <f t="shared" si="18"/>
        <v xml:space="preserve"> </v>
      </c>
    </row>
    <row r="489" spans="12:22" x14ac:dyDescent="0.2">
      <c r="L489" s="8">
        <v>832100</v>
      </c>
      <c r="M489" s="8" t="s">
        <v>549</v>
      </c>
      <c r="N489" s="14" t="str">
        <f t="shared" si="17"/>
        <v>832100 Motorcykelførere</v>
      </c>
      <c r="V489" t="str">
        <f t="shared" si="18"/>
        <v xml:space="preserve"> </v>
      </c>
    </row>
    <row r="490" spans="12:22" x14ac:dyDescent="0.2">
      <c r="L490" s="8">
        <v>832210</v>
      </c>
      <c r="M490" s="8" t="s">
        <v>550</v>
      </c>
      <c r="N490" s="14" t="str">
        <f t="shared" si="17"/>
        <v>832210 Hyrevogns- og privatchaufførarbejde eller tilsvarende chaufførarbejde</v>
      </c>
      <c r="V490" t="str">
        <f t="shared" si="18"/>
        <v xml:space="preserve"> </v>
      </c>
    </row>
    <row r="491" spans="12:22" x14ac:dyDescent="0.2">
      <c r="L491" s="8">
        <v>832220</v>
      </c>
      <c r="M491" s="8" t="s">
        <v>551</v>
      </c>
      <c r="N491" s="14" t="str">
        <f t="shared" si="17"/>
        <v>832220 Varevognschaufførarbejde</v>
      </c>
      <c r="V491" t="str">
        <f t="shared" si="18"/>
        <v xml:space="preserve"> </v>
      </c>
    </row>
    <row r="492" spans="12:22" x14ac:dyDescent="0.2">
      <c r="L492" s="8">
        <v>832230</v>
      </c>
      <c r="M492" s="8" t="s">
        <v>552</v>
      </c>
      <c r="N492" s="14" t="str">
        <f t="shared" si="17"/>
        <v>832230 Varevognschaufførarbejde med salgs- og repræsentationsopgaver</v>
      </c>
      <c r="V492" t="str">
        <f t="shared" si="18"/>
        <v xml:space="preserve"> </v>
      </c>
    </row>
    <row r="493" spans="12:22" x14ac:dyDescent="0.2">
      <c r="L493" s="8">
        <v>832240</v>
      </c>
      <c r="M493" s="8" t="s">
        <v>553</v>
      </c>
      <c r="N493" s="14" t="str">
        <f t="shared" si="17"/>
        <v>832240 Varevognschaufførarbejde med renovationsopgaver</v>
      </c>
      <c r="V493" t="str">
        <f t="shared" si="18"/>
        <v xml:space="preserve"> </v>
      </c>
    </row>
    <row r="494" spans="12:22" x14ac:dyDescent="0.2">
      <c r="L494" s="8">
        <v>833110</v>
      </c>
      <c r="M494" s="8" t="s">
        <v>554</v>
      </c>
      <c r="N494" s="14" t="str">
        <f t="shared" si="17"/>
        <v>833110 Buschauffører, national rutefart</v>
      </c>
      <c r="V494" t="str">
        <f t="shared" si="18"/>
        <v xml:space="preserve"> </v>
      </c>
    </row>
    <row r="495" spans="12:22" x14ac:dyDescent="0.2">
      <c r="L495" s="8">
        <v>833120</v>
      </c>
      <c r="M495" s="8" t="s">
        <v>555</v>
      </c>
      <c r="N495" s="14" t="str">
        <f t="shared" si="17"/>
        <v>833120 Buschauffører, national turistfart</v>
      </c>
      <c r="V495" t="str">
        <f t="shared" si="18"/>
        <v xml:space="preserve"> </v>
      </c>
    </row>
    <row r="496" spans="12:22" x14ac:dyDescent="0.2">
      <c r="L496" s="8">
        <v>833130</v>
      </c>
      <c r="M496" s="8" t="s">
        <v>556</v>
      </c>
      <c r="N496" s="14" t="str">
        <f t="shared" si="17"/>
        <v>833130 Buschauffører, international rutefart</v>
      </c>
      <c r="V496" t="str">
        <f t="shared" si="18"/>
        <v xml:space="preserve"> </v>
      </c>
    </row>
    <row r="497" spans="12:22" x14ac:dyDescent="0.2">
      <c r="L497" s="8">
        <v>833140</v>
      </c>
      <c r="M497" s="8" t="s">
        <v>557</v>
      </c>
      <c r="N497" s="14" t="str">
        <f t="shared" si="17"/>
        <v>833140 Buschauffører, international turistfart</v>
      </c>
      <c r="V497" t="str">
        <f t="shared" si="18"/>
        <v xml:space="preserve"> </v>
      </c>
    </row>
    <row r="498" spans="12:22" x14ac:dyDescent="0.2">
      <c r="L498" s="8">
        <v>833210</v>
      </c>
      <c r="M498" s="8" t="s">
        <v>558</v>
      </c>
      <c r="N498" s="14" t="str">
        <f t="shared" si="17"/>
        <v>833210 Lastbilchauffører, national transport</v>
      </c>
      <c r="V498" t="str">
        <f t="shared" si="18"/>
        <v xml:space="preserve"> </v>
      </c>
    </row>
    <row r="499" spans="12:22" x14ac:dyDescent="0.2">
      <c r="L499" s="8">
        <v>833220</v>
      </c>
      <c r="M499" s="8" t="s">
        <v>559</v>
      </c>
      <c r="N499" s="14" t="str">
        <f t="shared" si="17"/>
        <v>833220 Lastbilchauffører, international transport</v>
      </c>
      <c r="V499" t="str">
        <f t="shared" si="18"/>
        <v xml:space="preserve"> </v>
      </c>
    </row>
    <row r="500" spans="12:22" x14ac:dyDescent="0.2">
      <c r="L500" s="8">
        <v>833230</v>
      </c>
      <c r="M500" s="8" t="s">
        <v>560</v>
      </c>
      <c r="N500" s="14" t="str">
        <f t="shared" si="17"/>
        <v>833230 Lastbilchauffører med salgs- og repræsentationsopgaver</v>
      </c>
      <c r="V500" t="str">
        <f t="shared" si="18"/>
        <v xml:space="preserve"> </v>
      </c>
    </row>
    <row r="501" spans="12:22" x14ac:dyDescent="0.2">
      <c r="L501" s="8">
        <v>833240</v>
      </c>
      <c r="M501" s="8" t="s">
        <v>561</v>
      </c>
      <c r="N501" s="14" t="str">
        <f t="shared" si="17"/>
        <v>833240 Lastbilchauffører med renovationsopgaver</v>
      </c>
      <c r="V501" t="str">
        <f t="shared" si="18"/>
        <v xml:space="preserve"> </v>
      </c>
    </row>
    <row r="502" spans="12:22" x14ac:dyDescent="0.2">
      <c r="L502" s="8">
        <v>833250</v>
      </c>
      <c r="M502" s="8" t="s">
        <v>562</v>
      </c>
      <c r="N502" s="14" t="str">
        <f t="shared" si="17"/>
        <v>833250 Lastbilchauffører med flytteopgaver</v>
      </c>
      <c r="V502" t="str">
        <f t="shared" si="18"/>
        <v xml:space="preserve"> </v>
      </c>
    </row>
    <row r="503" spans="12:22" x14ac:dyDescent="0.2">
      <c r="L503" s="8">
        <v>833260</v>
      </c>
      <c r="M503" s="8" t="s">
        <v>563</v>
      </c>
      <c r="N503" s="14" t="str">
        <f t="shared" si="17"/>
        <v>833260 Lastbilchauffører med farligt gods</v>
      </c>
      <c r="V503" t="str">
        <f t="shared" si="18"/>
        <v xml:space="preserve"> </v>
      </c>
    </row>
    <row r="504" spans="12:22" x14ac:dyDescent="0.2">
      <c r="L504" s="8">
        <v>834100</v>
      </c>
      <c r="M504" s="8" t="s">
        <v>564</v>
      </c>
      <c r="N504" s="14" t="str">
        <f t="shared" si="17"/>
        <v>834100 Førere af mobile landsbrugs- og skovbrugsmaskiner</v>
      </c>
      <c r="V504" t="str">
        <f t="shared" si="18"/>
        <v xml:space="preserve"> </v>
      </c>
    </row>
    <row r="505" spans="12:22" x14ac:dyDescent="0.2">
      <c r="L505" s="8">
        <v>834200</v>
      </c>
      <c r="M505" s="8" t="s">
        <v>565</v>
      </c>
      <c r="N505" s="14" t="str">
        <f t="shared" si="17"/>
        <v>834200 Entreprenørmaskinførerarbejde</v>
      </c>
      <c r="V505" t="str">
        <f t="shared" si="18"/>
        <v xml:space="preserve"> </v>
      </c>
    </row>
    <row r="506" spans="12:22" x14ac:dyDescent="0.2">
      <c r="L506" s="8">
        <v>834310</v>
      </c>
      <c r="M506" s="8" t="s">
        <v>566</v>
      </c>
      <c r="N506" s="14" t="str">
        <f t="shared" si="17"/>
        <v>834310 Kran- og liftførerarbejde ved stationære enheder</v>
      </c>
      <c r="V506" t="str">
        <f t="shared" si="18"/>
        <v xml:space="preserve"> </v>
      </c>
    </row>
    <row r="507" spans="12:22" x14ac:dyDescent="0.2">
      <c r="L507" s="8">
        <v>834320</v>
      </c>
      <c r="M507" s="8" t="s">
        <v>567</v>
      </c>
      <c r="N507" s="14" t="str">
        <f t="shared" si="17"/>
        <v>834320 Kran- og liftførerarbejde ved mobile enheder</v>
      </c>
      <c r="V507" t="str">
        <f t="shared" si="18"/>
        <v xml:space="preserve"> </v>
      </c>
    </row>
    <row r="508" spans="12:22" x14ac:dyDescent="0.2">
      <c r="L508" s="8">
        <v>834400</v>
      </c>
      <c r="M508" s="8" t="s">
        <v>568</v>
      </c>
      <c r="N508" s="14" t="str">
        <f t="shared" si="17"/>
        <v>834400 Truckførerarbejde</v>
      </c>
      <c r="V508" t="str">
        <f t="shared" si="18"/>
        <v xml:space="preserve"> </v>
      </c>
    </row>
    <row r="509" spans="12:22" x14ac:dyDescent="0.2">
      <c r="L509" s="8">
        <v>835000</v>
      </c>
      <c r="M509" s="8" t="s">
        <v>569</v>
      </c>
      <c r="N509" s="14" t="str">
        <f t="shared" si="17"/>
        <v>835000 Dæksarbejde og medhjælp om bord på skibe</v>
      </c>
      <c r="V509" t="str">
        <f t="shared" si="18"/>
        <v xml:space="preserve"> </v>
      </c>
    </row>
    <row r="510" spans="12:22" x14ac:dyDescent="0.2">
      <c r="L510" s="8">
        <v>911100</v>
      </c>
      <c r="M510" s="8" t="s">
        <v>570</v>
      </c>
      <c r="N510" s="14" t="str">
        <f t="shared" si="17"/>
        <v>911100 Rengøringsarbejde i private hjem</v>
      </c>
      <c r="V510" t="str">
        <f t="shared" si="18"/>
        <v xml:space="preserve"> </v>
      </c>
    </row>
    <row r="511" spans="12:22" x14ac:dyDescent="0.2">
      <c r="L511" s="8">
        <v>911210</v>
      </c>
      <c r="M511" s="8" t="s">
        <v>571</v>
      </c>
      <c r="N511" s="14" t="str">
        <f t="shared" si="17"/>
        <v>911210 Rengøring af kontorer og beboelsesområder</v>
      </c>
      <c r="V511" t="str">
        <f t="shared" si="18"/>
        <v xml:space="preserve"> </v>
      </c>
    </row>
    <row r="512" spans="12:22" x14ac:dyDescent="0.2">
      <c r="L512" s="8">
        <v>911220</v>
      </c>
      <c r="M512" s="8" t="s">
        <v>572</v>
      </c>
      <c r="N512" s="14" t="str">
        <f t="shared" si="17"/>
        <v>911220 Rengøring på hospitaler o.l.</v>
      </c>
      <c r="V512" t="str">
        <f t="shared" si="18"/>
        <v xml:space="preserve"> </v>
      </c>
    </row>
    <row r="513" spans="12:22" x14ac:dyDescent="0.2">
      <c r="L513" s="8">
        <v>911230</v>
      </c>
      <c r="M513" s="8" t="s">
        <v>573</v>
      </c>
      <c r="N513" s="14" t="str">
        <f t="shared" si="17"/>
        <v>911230 Rengøring af industrilokaliteter</v>
      </c>
      <c r="V513" t="str">
        <f t="shared" si="18"/>
        <v xml:space="preserve"> </v>
      </c>
    </row>
    <row r="514" spans="12:22" x14ac:dyDescent="0.2">
      <c r="L514" s="8">
        <v>911240</v>
      </c>
      <c r="M514" s="8" t="s">
        <v>574</v>
      </c>
      <c r="N514" s="14" t="str">
        <f t="shared" si="17"/>
        <v>911240 Rengøring på hoteller o.l.</v>
      </c>
      <c r="V514" t="str">
        <f t="shared" si="18"/>
        <v xml:space="preserve"> </v>
      </c>
    </row>
    <row r="515" spans="12:22" x14ac:dyDescent="0.2">
      <c r="L515" s="8">
        <v>911250</v>
      </c>
      <c r="M515" s="8" t="s">
        <v>575</v>
      </c>
      <c r="N515" s="14" t="str">
        <f t="shared" ref="N515:N562" si="19">L515&amp;" "&amp;M515</f>
        <v>911250 Rengøring af passagerområder i transportmidler</v>
      </c>
      <c r="V515" t="str">
        <f t="shared" ref="V515:V562" si="20">CONCATENATE(T514," ",U514)</f>
        <v xml:space="preserve"> </v>
      </c>
    </row>
    <row r="516" spans="12:22" x14ac:dyDescent="0.2">
      <c r="L516" s="8">
        <v>911260</v>
      </c>
      <c r="M516" s="8" t="s">
        <v>576</v>
      </c>
      <c r="N516" s="14" t="str">
        <f t="shared" si="19"/>
        <v>911260 Tværgående serviceopgaver</v>
      </c>
      <c r="V516" t="str">
        <f t="shared" si="20"/>
        <v xml:space="preserve"> </v>
      </c>
    </row>
    <row r="517" spans="12:22" x14ac:dyDescent="0.2">
      <c r="L517" s="8">
        <v>912100</v>
      </c>
      <c r="M517" s="8" t="s">
        <v>577</v>
      </c>
      <c r="N517" s="14" t="str">
        <f t="shared" si="19"/>
        <v>912100 Manuel vask og presning af tøj</v>
      </c>
      <c r="V517" t="str">
        <f t="shared" si="20"/>
        <v xml:space="preserve"> </v>
      </c>
    </row>
    <row r="518" spans="12:22" x14ac:dyDescent="0.2">
      <c r="L518" s="8">
        <v>912200</v>
      </c>
      <c r="M518" s="8" t="s">
        <v>578</v>
      </c>
      <c r="N518" s="14" t="str">
        <f t="shared" si="19"/>
        <v>912200 Rengøring af transportmidler</v>
      </c>
      <c r="V518" t="str">
        <f t="shared" si="20"/>
        <v xml:space="preserve"> </v>
      </c>
    </row>
    <row r="519" spans="12:22" x14ac:dyDescent="0.2">
      <c r="L519" s="8">
        <v>912300</v>
      </c>
      <c r="M519" s="8" t="s">
        <v>579</v>
      </c>
      <c r="N519" s="14" t="str">
        <f t="shared" si="19"/>
        <v>912300 Vinduespudsning</v>
      </c>
      <c r="V519" t="str">
        <f t="shared" si="20"/>
        <v xml:space="preserve"> </v>
      </c>
    </row>
    <row r="520" spans="12:22" x14ac:dyDescent="0.2">
      <c r="L520" s="8">
        <v>912910</v>
      </c>
      <c r="M520" s="8" t="s">
        <v>580</v>
      </c>
      <c r="N520" s="14" t="str">
        <f t="shared" si="19"/>
        <v>912910 Rengøring ved skadeservice</v>
      </c>
      <c r="V520" t="str">
        <f t="shared" si="20"/>
        <v xml:space="preserve"> </v>
      </c>
    </row>
    <row r="521" spans="12:22" x14ac:dyDescent="0.2">
      <c r="L521" s="8">
        <v>912990</v>
      </c>
      <c r="M521" s="8" t="s">
        <v>581</v>
      </c>
      <c r="N521" s="14" t="str">
        <f t="shared" si="19"/>
        <v>912990 Andet rengøringsarbejde</v>
      </c>
      <c r="V521" t="str">
        <f t="shared" si="20"/>
        <v xml:space="preserve"> </v>
      </c>
    </row>
    <row r="522" spans="12:22" x14ac:dyDescent="0.2">
      <c r="L522" s="8">
        <v>921100</v>
      </c>
      <c r="M522" s="8" t="s">
        <v>582</v>
      </c>
      <c r="N522" s="14" t="str">
        <f t="shared" si="19"/>
        <v>921100 Manuelt arbejde inden for agerbrug</v>
      </c>
      <c r="V522" t="str">
        <f t="shared" si="20"/>
        <v xml:space="preserve"> </v>
      </c>
    </row>
    <row r="523" spans="12:22" x14ac:dyDescent="0.2">
      <c r="L523" s="8">
        <v>921200</v>
      </c>
      <c r="M523" s="8" t="s">
        <v>583</v>
      </c>
      <c r="N523" s="14" t="str">
        <f t="shared" si="19"/>
        <v>921200 Manuelt arbejde inden for husdyravl</v>
      </c>
      <c r="V523" t="str">
        <f t="shared" si="20"/>
        <v xml:space="preserve"> </v>
      </c>
    </row>
    <row r="524" spans="12:22" x14ac:dyDescent="0.2">
      <c r="L524" s="8">
        <v>921300</v>
      </c>
      <c r="M524" s="8" t="s">
        <v>584</v>
      </c>
      <c r="N524" s="14" t="str">
        <f t="shared" si="19"/>
        <v>921300 Manuelt arbejde inden for både agerbrug og husdyravl</v>
      </c>
      <c r="V524" t="str">
        <f t="shared" si="20"/>
        <v xml:space="preserve"> </v>
      </c>
    </row>
    <row r="525" spans="12:22" x14ac:dyDescent="0.2">
      <c r="L525" s="8">
        <v>921400</v>
      </c>
      <c r="M525" s="8" t="s">
        <v>585</v>
      </c>
      <c r="N525" s="14" t="str">
        <f t="shared" si="19"/>
        <v>921400 Manuelt arbejde inden for havebrug og væksthusgartneri</v>
      </c>
      <c r="V525" t="str">
        <f t="shared" si="20"/>
        <v xml:space="preserve"> </v>
      </c>
    </row>
    <row r="526" spans="12:22" x14ac:dyDescent="0.2">
      <c r="L526" s="8">
        <v>921500</v>
      </c>
      <c r="M526" s="8" t="s">
        <v>586</v>
      </c>
      <c r="N526" s="14" t="str">
        <f t="shared" si="19"/>
        <v>921500 Manuelt skovarbejde</v>
      </c>
      <c r="V526" t="str">
        <f t="shared" si="20"/>
        <v xml:space="preserve"> </v>
      </c>
    </row>
    <row r="527" spans="12:22" x14ac:dyDescent="0.2">
      <c r="L527" s="8">
        <v>921600</v>
      </c>
      <c r="M527" s="8" t="s">
        <v>587</v>
      </c>
      <c r="N527" s="14" t="str">
        <f t="shared" si="19"/>
        <v>921600 Manuelt arbejde inden for fiskeri og akvakultur</v>
      </c>
      <c r="V527" t="str">
        <f t="shared" si="20"/>
        <v xml:space="preserve"> </v>
      </c>
    </row>
    <row r="528" spans="12:22" x14ac:dyDescent="0.2">
      <c r="L528" s="8">
        <v>931100</v>
      </c>
      <c r="M528" s="8" t="s">
        <v>588</v>
      </c>
      <c r="N528" s="14" t="str">
        <f t="shared" si="19"/>
        <v>931100 Manuelt arbejde inden for råstofudvinding</v>
      </c>
      <c r="V528" t="str">
        <f t="shared" si="20"/>
        <v xml:space="preserve"> </v>
      </c>
    </row>
    <row r="529" spans="12:22" x14ac:dyDescent="0.2">
      <c r="L529" s="8">
        <v>931210</v>
      </c>
      <c r="M529" s="8" t="s">
        <v>589</v>
      </c>
      <c r="N529" s="14" t="str">
        <f t="shared" si="19"/>
        <v>931210 Asfaltarbejde</v>
      </c>
      <c r="V529" t="str">
        <f t="shared" si="20"/>
        <v xml:space="preserve"> </v>
      </c>
    </row>
    <row r="530" spans="12:22" x14ac:dyDescent="0.2">
      <c r="L530" s="8">
        <v>931220</v>
      </c>
      <c r="M530" s="8" t="s">
        <v>590</v>
      </c>
      <c r="N530" s="14" t="str">
        <f t="shared" si="19"/>
        <v>931220 Medhjælp med brolæggerarbejde</v>
      </c>
      <c r="V530" t="str">
        <f t="shared" si="20"/>
        <v xml:space="preserve"> </v>
      </c>
    </row>
    <row r="531" spans="12:22" x14ac:dyDescent="0.2">
      <c r="L531" s="8">
        <v>931230</v>
      </c>
      <c r="M531" s="8" t="s">
        <v>591</v>
      </c>
      <c r="N531" s="14" t="str">
        <f t="shared" si="19"/>
        <v>931230 Kabelarbejde</v>
      </c>
      <c r="V531" t="str">
        <f t="shared" si="20"/>
        <v xml:space="preserve"> </v>
      </c>
    </row>
    <row r="532" spans="12:22" x14ac:dyDescent="0.2">
      <c r="L532" s="8">
        <v>931240</v>
      </c>
      <c r="M532" s="8" t="s">
        <v>592</v>
      </c>
      <c r="N532" s="14" t="str">
        <f t="shared" si="19"/>
        <v>931240 Montage af luftledninger</v>
      </c>
      <c r="V532" t="str">
        <f t="shared" si="20"/>
        <v xml:space="preserve"> </v>
      </c>
    </row>
    <row r="533" spans="12:22" x14ac:dyDescent="0.2">
      <c r="L533" s="8">
        <v>931290</v>
      </c>
      <c r="M533" s="8" t="s">
        <v>593</v>
      </c>
      <c r="N533" s="14" t="str">
        <f t="shared" si="19"/>
        <v>931290 Jord-, kloak- og andet anlægsarbejde</v>
      </c>
      <c r="V533" t="str">
        <f t="shared" si="20"/>
        <v xml:space="preserve"> </v>
      </c>
    </row>
    <row r="534" spans="12:22" x14ac:dyDescent="0.2">
      <c r="L534" s="8">
        <v>931310</v>
      </c>
      <c r="M534" s="8" t="s">
        <v>594</v>
      </c>
      <c r="N534" s="14" t="str">
        <f t="shared" si="19"/>
        <v>931310 Medhjælp ved isoleringsarbejde</v>
      </c>
      <c r="V534" t="str">
        <f t="shared" si="20"/>
        <v xml:space="preserve"> </v>
      </c>
    </row>
    <row r="535" spans="12:22" x14ac:dyDescent="0.2">
      <c r="L535" s="8">
        <v>931320</v>
      </c>
      <c r="M535" s="8" t="s">
        <v>595</v>
      </c>
      <c r="N535" s="14" t="str">
        <f t="shared" si="19"/>
        <v>931320 Medhjælp ved tagdækningsarbejde</v>
      </c>
      <c r="V535" t="str">
        <f t="shared" si="20"/>
        <v xml:space="preserve"> </v>
      </c>
    </row>
    <row r="536" spans="12:22" x14ac:dyDescent="0.2">
      <c r="L536" s="8">
        <v>931330</v>
      </c>
      <c r="M536" s="8" t="s">
        <v>596</v>
      </c>
      <c r="N536" s="14" t="str">
        <f t="shared" si="19"/>
        <v>931330 Medhjælp ved murerarbejde</v>
      </c>
      <c r="V536" t="str">
        <f t="shared" si="20"/>
        <v xml:space="preserve"> </v>
      </c>
    </row>
    <row r="537" spans="12:22" x14ac:dyDescent="0.2">
      <c r="L537" s="8">
        <v>931340</v>
      </c>
      <c r="M537" s="8" t="s">
        <v>597</v>
      </c>
      <c r="N537" s="14" t="str">
        <f t="shared" si="19"/>
        <v>931340 Beton- jernbeton og montagearbejde</v>
      </c>
      <c r="V537" t="str">
        <f t="shared" si="20"/>
        <v xml:space="preserve"> </v>
      </c>
    </row>
    <row r="538" spans="12:22" x14ac:dyDescent="0.2">
      <c r="L538" s="8">
        <v>931350</v>
      </c>
      <c r="M538" s="8" t="s">
        <v>598</v>
      </c>
      <c r="N538" s="14" t="str">
        <f t="shared" si="19"/>
        <v>931350 Opsætning og nedtagning af stilladser</v>
      </c>
      <c r="V538" t="str">
        <f t="shared" si="20"/>
        <v xml:space="preserve"> </v>
      </c>
    </row>
    <row r="539" spans="12:22" x14ac:dyDescent="0.2">
      <c r="L539" s="8">
        <v>931390</v>
      </c>
      <c r="M539" s="8" t="s">
        <v>599</v>
      </c>
      <c r="N539" s="14" t="str">
        <f t="shared" si="19"/>
        <v>931390 Medhjælp ved andet bygningsarbejde</v>
      </c>
      <c r="V539" t="str">
        <f t="shared" si="20"/>
        <v xml:space="preserve"> </v>
      </c>
    </row>
    <row r="540" spans="12:22" x14ac:dyDescent="0.2">
      <c r="L540" s="8">
        <v>932100</v>
      </c>
      <c r="M540" s="8" t="s">
        <v>600</v>
      </c>
      <c r="N540" s="14" t="str">
        <f t="shared" si="19"/>
        <v>932100 Pakkeriarbejde</v>
      </c>
      <c r="V540" t="str">
        <f t="shared" si="20"/>
        <v xml:space="preserve"> </v>
      </c>
    </row>
    <row r="541" spans="12:22" x14ac:dyDescent="0.2">
      <c r="L541" s="8">
        <v>932900</v>
      </c>
      <c r="M541" s="8" t="s">
        <v>601</v>
      </c>
      <c r="N541" s="14" t="str">
        <f t="shared" si="19"/>
        <v>932900 Andet manuelt produktionsarbejde</v>
      </c>
      <c r="V541" t="str">
        <f t="shared" si="20"/>
        <v xml:space="preserve"> </v>
      </c>
    </row>
    <row r="542" spans="12:22" x14ac:dyDescent="0.2">
      <c r="L542" s="8">
        <v>933100</v>
      </c>
      <c r="M542" s="8" t="s">
        <v>602</v>
      </c>
      <c r="N542" s="14" t="str">
        <f t="shared" si="19"/>
        <v>933100 Førere af hånd- og pedaldrevne køretøjer</v>
      </c>
      <c r="V542" t="str">
        <f t="shared" si="20"/>
        <v xml:space="preserve"> </v>
      </c>
    </row>
    <row r="543" spans="12:22" x14ac:dyDescent="0.2">
      <c r="L543" s="8">
        <v>933200</v>
      </c>
      <c r="M543" s="8" t="s">
        <v>603</v>
      </c>
      <c r="N543" s="14" t="str">
        <f t="shared" si="19"/>
        <v>933200 Førere af dyretrukne køretøjer og maskineri</v>
      </c>
      <c r="V543" t="str">
        <f t="shared" si="20"/>
        <v xml:space="preserve"> </v>
      </c>
    </row>
    <row r="544" spans="12:22" x14ac:dyDescent="0.2">
      <c r="L544" s="8">
        <v>933300</v>
      </c>
      <c r="M544" s="8" t="s">
        <v>604</v>
      </c>
      <c r="N544" s="14" t="str">
        <f t="shared" si="19"/>
        <v>933300 Arbejde med lastning og losning</v>
      </c>
      <c r="V544" t="str">
        <f t="shared" si="20"/>
        <v xml:space="preserve"> </v>
      </c>
    </row>
    <row r="545" spans="12:22" x14ac:dyDescent="0.2">
      <c r="L545" s="8">
        <v>933410</v>
      </c>
      <c r="M545" s="8" t="s">
        <v>605</v>
      </c>
      <c r="N545" s="14" t="str">
        <f t="shared" si="19"/>
        <v>933410 Lager- og pakhusarbejde</v>
      </c>
      <c r="V545" t="str">
        <f t="shared" si="20"/>
        <v xml:space="preserve"> </v>
      </c>
    </row>
    <row r="546" spans="12:22" x14ac:dyDescent="0.2">
      <c r="L546" s="8">
        <v>933420</v>
      </c>
      <c r="M546" s="8" t="s">
        <v>606</v>
      </c>
      <c r="N546" s="14" t="str">
        <f t="shared" si="19"/>
        <v>933420 Medhjælp i butik mv. (ekskl. kassearbejde)</v>
      </c>
      <c r="V546" t="str">
        <f t="shared" si="20"/>
        <v xml:space="preserve"> </v>
      </c>
    </row>
    <row r="547" spans="12:22" x14ac:dyDescent="0.2">
      <c r="L547" s="8">
        <v>941100</v>
      </c>
      <c r="M547" s="8" t="s">
        <v>607</v>
      </c>
      <c r="N547" s="14" t="str">
        <f t="shared" si="19"/>
        <v>941100 Tilberedning af fastfood</v>
      </c>
      <c r="V547" t="str">
        <f t="shared" si="20"/>
        <v xml:space="preserve"> </v>
      </c>
    </row>
    <row r="548" spans="12:22" x14ac:dyDescent="0.2">
      <c r="L548" s="8">
        <v>941210</v>
      </c>
      <c r="M548" s="8" t="s">
        <v>608</v>
      </c>
      <c r="N548" s="14" t="str">
        <f t="shared" si="19"/>
        <v>941210 Medhjælp i køkken</v>
      </c>
      <c r="V548" t="str">
        <f t="shared" si="20"/>
        <v xml:space="preserve"> </v>
      </c>
    </row>
    <row r="549" spans="12:22" x14ac:dyDescent="0.2">
      <c r="L549" s="8">
        <v>941220</v>
      </c>
      <c r="M549" s="8" t="s">
        <v>609</v>
      </c>
      <c r="N549" s="14" t="str">
        <f t="shared" si="19"/>
        <v>941220 Afrydning i restaurantioner o.l.</v>
      </c>
      <c r="V549" t="str">
        <f t="shared" si="20"/>
        <v xml:space="preserve"> </v>
      </c>
    </row>
    <row r="550" spans="12:22" x14ac:dyDescent="0.2">
      <c r="L550" s="8">
        <v>951000</v>
      </c>
      <c r="M550" s="8" t="s">
        <v>610</v>
      </c>
      <c r="N550" s="14" t="str">
        <f t="shared" si="19"/>
        <v>951000 Servicearbejde på gaden</v>
      </c>
      <c r="V550" t="str">
        <f t="shared" si="20"/>
        <v xml:space="preserve"> </v>
      </c>
    </row>
    <row r="551" spans="12:22" x14ac:dyDescent="0.2">
      <c r="L551" s="8">
        <v>952000</v>
      </c>
      <c r="M551" s="8" t="s">
        <v>611</v>
      </c>
      <c r="N551" s="14" t="str">
        <f t="shared" si="19"/>
        <v>952000 Gadesalg (undtagen madvarer)</v>
      </c>
      <c r="V551" t="str">
        <f t="shared" si="20"/>
        <v xml:space="preserve"> </v>
      </c>
    </row>
    <row r="552" spans="12:22" x14ac:dyDescent="0.2">
      <c r="L552" s="8">
        <v>961100</v>
      </c>
      <c r="M552" s="8" t="s">
        <v>612</v>
      </c>
      <c r="N552" s="14" t="str">
        <f t="shared" si="19"/>
        <v>961100 Indsamling af skrald og genbrugsartikler</v>
      </c>
      <c r="V552" t="str">
        <f t="shared" si="20"/>
        <v xml:space="preserve"> </v>
      </c>
    </row>
    <row r="553" spans="12:22" x14ac:dyDescent="0.2">
      <c r="L553" s="8">
        <v>961200</v>
      </c>
      <c r="M553" s="8" t="s">
        <v>613</v>
      </c>
      <c r="N553" s="14" t="str">
        <f t="shared" si="19"/>
        <v>961200 Arbejde med affaldssortering</v>
      </c>
      <c r="V553" t="str">
        <f t="shared" si="20"/>
        <v xml:space="preserve"> </v>
      </c>
    </row>
    <row r="554" spans="12:22" x14ac:dyDescent="0.2">
      <c r="L554" s="8">
        <v>961300</v>
      </c>
      <c r="M554" s="8" t="s">
        <v>614</v>
      </c>
      <c r="N554" s="14" t="str">
        <f t="shared" si="19"/>
        <v>961300 Gadefejning og beslægtet arbejde</v>
      </c>
      <c r="V554" t="str">
        <f t="shared" si="20"/>
        <v xml:space="preserve"> </v>
      </c>
    </row>
    <row r="555" spans="12:22" x14ac:dyDescent="0.2">
      <c r="L555" s="8">
        <v>962110</v>
      </c>
      <c r="M555" s="8" t="s">
        <v>615</v>
      </c>
      <c r="N555" s="14" t="str">
        <f t="shared" si="19"/>
        <v>962110 Kurérarbejde</v>
      </c>
      <c r="V555" t="str">
        <f t="shared" si="20"/>
        <v xml:space="preserve"> </v>
      </c>
    </row>
    <row r="556" spans="12:22" x14ac:dyDescent="0.2">
      <c r="L556" s="8">
        <v>962120</v>
      </c>
      <c r="M556" s="8" t="s">
        <v>616</v>
      </c>
      <c r="N556" s="14" t="str">
        <f t="shared" si="19"/>
        <v>962120 Transport af bagage</v>
      </c>
      <c r="V556" t="str">
        <f t="shared" si="20"/>
        <v xml:space="preserve"> </v>
      </c>
    </row>
    <row r="557" spans="12:22" x14ac:dyDescent="0.2">
      <c r="L557" s="8">
        <v>962200</v>
      </c>
      <c r="M557" s="8" t="s">
        <v>617</v>
      </c>
      <c r="N557" s="14" t="str">
        <f t="shared" si="19"/>
        <v>962200 Forefaldende arbejde</v>
      </c>
      <c r="V557" t="str">
        <f t="shared" si="20"/>
        <v xml:space="preserve"> </v>
      </c>
    </row>
    <row r="558" spans="12:22" x14ac:dyDescent="0.2">
      <c r="L558" s="8">
        <v>962300</v>
      </c>
      <c r="M558" s="8" t="s">
        <v>618</v>
      </c>
      <c r="N558" s="14" t="str">
        <f t="shared" si="19"/>
        <v>962300 Måleraflæsning og tømning af salgsautomater</v>
      </c>
      <c r="V558" t="str">
        <f t="shared" si="20"/>
        <v xml:space="preserve"> </v>
      </c>
    </row>
    <row r="559" spans="12:22" x14ac:dyDescent="0.2">
      <c r="L559" s="8">
        <v>962400</v>
      </c>
      <c r="M559" s="8" t="s">
        <v>619</v>
      </c>
      <c r="N559" s="14" t="str">
        <f t="shared" si="19"/>
        <v>962400 Arbejde med indsamling af vand og brænde</v>
      </c>
      <c r="V559" t="str">
        <f t="shared" si="20"/>
        <v xml:space="preserve"> </v>
      </c>
    </row>
    <row r="560" spans="12:22" x14ac:dyDescent="0.2">
      <c r="L560" s="8">
        <v>962900</v>
      </c>
      <c r="M560" s="8" t="s">
        <v>620</v>
      </c>
      <c r="N560" s="14" t="str">
        <f t="shared" si="19"/>
        <v>962900 Andet manuelt arbejde</v>
      </c>
      <c r="V560" t="str">
        <f t="shared" si="20"/>
        <v xml:space="preserve"> </v>
      </c>
    </row>
    <row r="561" spans="12:22" ht="63.75" x14ac:dyDescent="0.2">
      <c r="L561" s="8">
        <v>999999</v>
      </c>
      <c r="M561" s="9" t="s">
        <v>621</v>
      </c>
      <c r="N561" s="14" t="str">
        <f t="shared" si="19"/>
        <v>999999 Indrapporteres ikke
oprettes også som ny og konvertees ikke.
Kode til kørsel a5015</v>
      </c>
      <c r="V561" t="str">
        <f t="shared" si="20"/>
        <v xml:space="preserve"> </v>
      </c>
    </row>
    <row r="562" spans="12:22" ht="38.25" x14ac:dyDescent="0.2">
      <c r="L562" s="8">
        <v>9999999999</v>
      </c>
      <c r="M562" s="9" t="s">
        <v>622</v>
      </c>
      <c r="N562" s="14" t="str">
        <f t="shared" si="19"/>
        <v>9999999999 ej konverteret fra p0300 til p0350
oprettet p.g.a. detail</v>
      </c>
      <c r="V562" t="str">
        <f t="shared" si="20"/>
        <v xml:space="preserve"> </v>
      </c>
    </row>
  </sheetData>
  <pageMargins left="0.7" right="0.7" top="0.75" bottom="0.75" header="0.3" footer="0.3"/>
  <pageSetup paperSize="9" orientation="portrait" r:id="rId1"/>
  <headerFooter>
    <oddFooter>&amp;L&amp;1#&amp;"Calibri"&amp;8 Sensitivity: Internal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1"/>
  <dimension ref="A1:H10"/>
  <sheetViews>
    <sheetView workbookViewId="0">
      <selection sqref="A1:D1"/>
    </sheetView>
  </sheetViews>
  <sheetFormatPr defaultRowHeight="12.75" x14ac:dyDescent="0.2"/>
  <cols>
    <col min="8" max="8" width="10.42578125" bestFit="1" customWidth="1"/>
  </cols>
  <sheetData>
    <row r="1" spans="1:8" ht="60" customHeight="1" x14ac:dyDescent="0.2">
      <c r="A1" s="88" t="s">
        <v>22</v>
      </c>
      <c r="B1" s="89"/>
      <c r="C1" s="89"/>
      <c r="D1" s="90"/>
      <c r="H1" s="6" t="s">
        <v>41</v>
      </c>
    </row>
    <row r="10" spans="1:8" s="5" customFormat="1" ht="55.5" customHeight="1" x14ac:dyDescent="0.2">
      <c r="A10" s="91" t="s">
        <v>39</v>
      </c>
      <c r="B10" s="92"/>
      <c r="C10" s="92"/>
      <c r="D10" s="93"/>
    </row>
  </sheetData>
  <mergeCells count="2">
    <mergeCell ref="A1:D1"/>
    <mergeCell ref="A10:D10"/>
  </mergeCells>
  <phoneticPr fontId="3" type="noConversion"/>
  <pageMargins left="0.78740157480314965" right="0.78740157480314965" top="0.98425196850393704" bottom="0.98425196850393704" header="0" footer="0"/>
  <pageSetup paperSize="9" orientation="portrait" r:id="rId1"/>
  <headerFooter alignWithMargins="0">
    <oddFooter>&amp;L&amp;1#&amp;"Calibri"&amp;8 Sensitivity: 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Dansk">
                <anchor moveWithCells="1" sizeWithCells="1">
                  <from>
                    <xdr:col>0</xdr:col>
                    <xdr:colOff>0</xdr:colOff>
                    <xdr:row>1</xdr:row>
                    <xdr:rowOff>142875</xdr:rowOff>
                  </from>
                  <to>
                    <xdr:col>3</xdr:col>
                    <xdr:colOff>600075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Engelsk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3</xdr:col>
                    <xdr:colOff>600075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4">
    <pageSetUpPr fitToPage="1"/>
  </sheetPr>
  <dimension ref="A1:M68"/>
  <sheetViews>
    <sheetView zoomScale="85" zoomScaleNormal="85" workbookViewId="0">
      <selection activeCell="A35" sqref="A35"/>
    </sheetView>
  </sheetViews>
  <sheetFormatPr defaultColWidth="0" defaultRowHeight="12.75" x14ac:dyDescent="0.2"/>
  <cols>
    <col min="1" max="1" width="41.140625" style="15" customWidth="1"/>
    <col min="2" max="2" width="44.28515625" style="15" customWidth="1"/>
    <col min="3" max="3" width="18.42578125" style="15" bestFit="1" customWidth="1"/>
    <col min="4" max="4" width="14.28515625" style="1" customWidth="1"/>
    <col min="5" max="13" width="0" style="1" hidden="1" customWidth="1"/>
    <col min="14" max="16384" width="7.5703125" style="1" hidden="1"/>
  </cols>
  <sheetData>
    <row r="1" spans="1:4" s="2" customFormat="1" ht="15.75" x14ac:dyDescent="0.25">
      <c r="A1" s="102" t="str">
        <f>IF(B9=0,"Vælg firma i celle E8",B9)</f>
        <v>Vælg firma i celle E8</v>
      </c>
      <c r="B1" s="103"/>
      <c r="C1" s="104"/>
      <c r="D1" s="1"/>
    </row>
    <row r="2" spans="1:4" s="52" customFormat="1" ht="15.75" x14ac:dyDescent="0.25">
      <c r="A2" s="49"/>
      <c r="B2" s="50"/>
      <c r="C2" s="51"/>
      <c r="D2" s="4"/>
    </row>
    <row r="3" spans="1:4" ht="15.75" x14ac:dyDescent="0.25">
      <c r="A3" s="18" t="s">
        <v>42</v>
      </c>
      <c r="B3" s="39"/>
      <c r="C3" s="19"/>
    </row>
    <row r="4" spans="1:4" x14ac:dyDescent="0.2">
      <c r="A4" s="20"/>
      <c r="B4" s="21"/>
      <c r="C4" s="22"/>
    </row>
    <row r="5" spans="1:4" ht="15.75" x14ac:dyDescent="0.25">
      <c r="A5" s="23" t="s">
        <v>23</v>
      </c>
      <c r="B5" s="40"/>
      <c r="C5" s="24"/>
    </row>
    <row r="6" spans="1:4" x14ac:dyDescent="0.2">
      <c r="A6" s="20"/>
      <c r="B6" s="21"/>
      <c r="C6" s="22"/>
    </row>
    <row r="7" spans="1:4" x14ac:dyDescent="0.2">
      <c r="A7" s="97" t="s">
        <v>626</v>
      </c>
      <c r="B7" s="98"/>
      <c r="C7" s="99"/>
    </row>
    <row r="8" spans="1:4" x14ac:dyDescent="0.2">
      <c r="A8" s="55"/>
      <c r="B8" s="56"/>
      <c r="C8" s="57"/>
    </row>
    <row r="9" spans="1:4" x14ac:dyDescent="0.2">
      <c r="A9" s="20" t="s">
        <v>25</v>
      </c>
      <c r="B9" s="63"/>
      <c r="C9" s="22"/>
    </row>
    <row r="10" spans="1:4" x14ac:dyDescent="0.2">
      <c r="A10" s="20" t="s">
        <v>679</v>
      </c>
      <c r="B10" s="47"/>
      <c r="C10" s="22"/>
    </row>
    <row r="11" spans="1:4" x14ac:dyDescent="0.2">
      <c r="A11" s="20" t="s">
        <v>24</v>
      </c>
      <c r="B11" s="34"/>
      <c r="C11" s="22"/>
    </row>
    <row r="12" spans="1:4" x14ac:dyDescent="0.2">
      <c r="A12" s="20" t="s">
        <v>26</v>
      </c>
      <c r="B12" s="34"/>
      <c r="C12" s="22"/>
    </row>
    <row r="13" spans="1:4" x14ac:dyDescent="0.2">
      <c r="A13" s="20" t="s">
        <v>40</v>
      </c>
      <c r="B13" s="34"/>
      <c r="C13" s="22"/>
    </row>
    <row r="14" spans="1:4" x14ac:dyDescent="0.2">
      <c r="A14" s="25"/>
      <c r="B14" s="48"/>
      <c r="C14" s="26"/>
    </row>
    <row r="15" spans="1:4" x14ac:dyDescent="0.2">
      <c r="A15" s="97" t="s">
        <v>625</v>
      </c>
      <c r="B15" s="98"/>
      <c r="C15" s="99"/>
    </row>
    <row r="16" spans="1:4" x14ac:dyDescent="0.2">
      <c r="A16" s="55"/>
      <c r="B16" s="56"/>
      <c r="C16" s="57"/>
    </row>
    <row r="17" spans="1:4" x14ac:dyDescent="0.2">
      <c r="A17" s="20" t="s">
        <v>28</v>
      </c>
      <c r="B17" s="37"/>
      <c r="C17" s="22" t="s">
        <v>667</v>
      </c>
      <c r="D17" s="3"/>
    </row>
    <row r="18" spans="1:4" x14ac:dyDescent="0.2">
      <c r="A18" s="20" t="s">
        <v>29</v>
      </c>
      <c r="B18" s="38"/>
      <c r="C18" s="27" t="s">
        <v>677</v>
      </c>
      <c r="D18" s="3"/>
    </row>
    <row r="19" spans="1:4" x14ac:dyDescent="0.2">
      <c r="A19" s="20" t="s">
        <v>676</v>
      </c>
      <c r="B19" s="38"/>
      <c r="C19" s="27" t="s">
        <v>677</v>
      </c>
      <c r="D19" s="3"/>
    </row>
    <row r="20" spans="1:4" x14ac:dyDescent="0.2">
      <c r="A20" s="20" t="s">
        <v>686</v>
      </c>
      <c r="B20" s="75"/>
      <c r="C20" s="27" t="s">
        <v>667</v>
      </c>
      <c r="D20" s="3"/>
    </row>
    <row r="21" spans="1:4" x14ac:dyDescent="0.2">
      <c r="A21" s="20" t="s">
        <v>685</v>
      </c>
      <c r="B21" s="75"/>
      <c r="C21" s="27" t="s">
        <v>687</v>
      </c>
      <c r="D21" s="3"/>
    </row>
    <row r="22" spans="1:4" x14ac:dyDescent="0.2">
      <c r="A22" s="20" t="s">
        <v>674</v>
      </c>
      <c r="B22" s="34"/>
      <c r="C22" s="22" t="s">
        <v>667</v>
      </c>
      <c r="D22" s="3"/>
    </row>
    <row r="23" spans="1:4" x14ac:dyDescent="0.2">
      <c r="A23" s="20" t="s">
        <v>675</v>
      </c>
      <c r="B23" s="58"/>
      <c r="C23" s="22"/>
      <c r="D23" s="3"/>
    </row>
    <row r="24" spans="1:4" x14ac:dyDescent="0.2">
      <c r="A24" s="25"/>
      <c r="B24" s="46"/>
      <c r="C24" s="26"/>
      <c r="D24" s="3"/>
    </row>
    <row r="25" spans="1:4" x14ac:dyDescent="0.2">
      <c r="A25" s="29" t="s">
        <v>30</v>
      </c>
      <c r="B25" s="30"/>
      <c r="C25" s="31"/>
      <c r="D25" s="3"/>
    </row>
    <row r="26" spans="1:4" x14ac:dyDescent="0.2">
      <c r="A26" s="60"/>
      <c r="B26" s="61"/>
      <c r="C26" s="32"/>
      <c r="D26" s="3"/>
    </row>
    <row r="27" spans="1:4" ht="24" x14ac:dyDescent="0.2">
      <c r="A27" s="64" t="s">
        <v>678</v>
      </c>
      <c r="B27" s="36"/>
      <c r="C27" s="65" t="s">
        <v>679</v>
      </c>
      <c r="D27" s="3"/>
    </row>
    <row r="28" spans="1:4" x14ac:dyDescent="0.2">
      <c r="A28" s="61"/>
      <c r="B28" s="33"/>
      <c r="C28" s="74"/>
      <c r="D28" s="3"/>
    </row>
    <row r="29" spans="1:4" x14ac:dyDescent="0.2">
      <c r="A29" s="100" t="s">
        <v>31</v>
      </c>
      <c r="B29" s="101"/>
      <c r="C29" s="101"/>
      <c r="D29" s="3"/>
    </row>
    <row r="30" spans="1:4" x14ac:dyDescent="0.2">
      <c r="A30" s="62"/>
      <c r="B30" s="21"/>
      <c r="C30" s="22"/>
      <c r="D30" s="3"/>
    </row>
    <row r="31" spans="1:4" x14ac:dyDescent="0.2">
      <c r="A31" s="20" t="s">
        <v>32</v>
      </c>
      <c r="B31" s="34"/>
      <c r="C31" s="22"/>
      <c r="D31" s="3"/>
    </row>
    <row r="32" spans="1:4" x14ac:dyDescent="0.2">
      <c r="A32" s="20" t="s">
        <v>34</v>
      </c>
      <c r="B32" s="34"/>
      <c r="C32" s="22"/>
      <c r="D32" s="3"/>
    </row>
    <row r="33" spans="1:4" x14ac:dyDescent="0.2">
      <c r="A33" s="20" t="s">
        <v>33</v>
      </c>
      <c r="B33" s="34"/>
      <c r="C33" s="22"/>
      <c r="D33" s="3"/>
    </row>
    <row r="34" spans="1:4" x14ac:dyDescent="0.2">
      <c r="A34" s="20" t="s">
        <v>668</v>
      </c>
      <c r="B34" s="34"/>
      <c r="C34" s="22"/>
      <c r="D34" s="3"/>
    </row>
    <row r="35" spans="1:4" x14ac:dyDescent="0.2">
      <c r="A35" s="25"/>
      <c r="B35" s="35"/>
      <c r="C35" s="26"/>
      <c r="D35" s="3"/>
    </row>
    <row r="36" spans="1:4" x14ac:dyDescent="0.2">
      <c r="A36" s="97" t="s">
        <v>35</v>
      </c>
      <c r="B36" s="98"/>
      <c r="C36" s="99"/>
    </row>
    <row r="37" spans="1:4" s="4" customFormat="1" x14ac:dyDescent="0.2">
      <c r="A37" s="55"/>
      <c r="B37" s="56"/>
      <c r="C37" s="57"/>
      <c r="D37" s="1"/>
    </row>
    <row r="38" spans="1:4" s="4" customFormat="1" x14ac:dyDescent="0.2">
      <c r="A38" s="20" t="s">
        <v>33</v>
      </c>
      <c r="B38" s="58"/>
      <c r="C38" s="22"/>
      <c r="D38" s="1"/>
    </row>
    <row r="39" spans="1:4" x14ac:dyDescent="0.2">
      <c r="A39" s="20" t="s">
        <v>27</v>
      </c>
      <c r="B39" s="34"/>
      <c r="C39" s="22" t="s">
        <v>36</v>
      </c>
    </row>
    <row r="40" spans="1:4" x14ac:dyDescent="0.2">
      <c r="A40" s="20" t="s">
        <v>38</v>
      </c>
      <c r="B40" s="34"/>
      <c r="C40" s="22" t="s">
        <v>37</v>
      </c>
    </row>
    <row r="41" spans="1:4" x14ac:dyDescent="0.2">
      <c r="A41" s="20" t="s">
        <v>684</v>
      </c>
      <c r="B41" s="34"/>
      <c r="C41" s="22"/>
    </row>
    <row r="42" spans="1:4" x14ac:dyDescent="0.2">
      <c r="A42" s="20"/>
      <c r="B42" s="21"/>
      <c r="C42" s="26"/>
    </row>
    <row r="43" spans="1:4" x14ac:dyDescent="0.2">
      <c r="A43" s="105" t="s">
        <v>21</v>
      </c>
      <c r="B43" s="106"/>
      <c r="C43" s="107"/>
    </row>
    <row r="44" spans="1:4" x14ac:dyDescent="0.2">
      <c r="A44" s="108"/>
      <c r="B44" s="109"/>
      <c r="C44" s="110"/>
    </row>
    <row r="45" spans="1:4" x14ac:dyDescent="0.2">
      <c r="A45" s="68"/>
      <c r="B45" s="69"/>
      <c r="C45" s="70"/>
    </row>
    <row r="46" spans="1:4" x14ac:dyDescent="0.2">
      <c r="A46" s="68"/>
      <c r="B46" s="69"/>
      <c r="C46" s="70"/>
    </row>
    <row r="47" spans="1:4" x14ac:dyDescent="0.2">
      <c r="A47" s="68"/>
      <c r="B47" s="69"/>
      <c r="C47" s="70"/>
    </row>
    <row r="48" spans="1:4" x14ac:dyDescent="0.2">
      <c r="A48" s="68"/>
      <c r="B48" s="69"/>
      <c r="C48" s="70"/>
    </row>
    <row r="49" spans="1:4" x14ac:dyDescent="0.2">
      <c r="A49" s="68"/>
      <c r="B49" s="69"/>
      <c r="C49" s="70"/>
    </row>
    <row r="50" spans="1:4" x14ac:dyDescent="0.2">
      <c r="A50" s="68"/>
      <c r="B50" s="69"/>
      <c r="C50" s="70"/>
    </row>
    <row r="51" spans="1:4" x14ac:dyDescent="0.2">
      <c r="A51" s="108"/>
      <c r="B51" s="109"/>
      <c r="C51" s="110"/>
    </row>
    <row r="52" spans="1:4" x14ac:dyDescent="0.2">
      <c r="A52" s="94"/>
      <c r="B52" s="95"/>
      <c r="C52" s="96"/>
    </row>
    <row r="53" spans="1:4" x14ac:dyDescent="0.2">
      <c r="A53" s="28"/>
      <c r="B53" s="28"/>
      <c r="C53" s="28"/>
    </row>
    <row r="61" spans="1:4" x14ac:dyDescent="0.2">
      <c r="D61" s="4"/>
    </row>
    <row r="68" spans="1:4" s="4" customFormat="1" x14ac:dyDescent="0.2">
      <c r="A68" s="15"/>
      <c r="B68" s="15"/>
      <c r="C68" s="15"/>
      <c r="D68" s="1"/>
    </row>
  </sheetData>
  <mergeCells count="9">
    <mergeCell ref="A52:C52"/>
    <mergeCell ref="A15:C15"/>
    <mergeCell ref="A29:C29"/>
    <mergeCell ref="A36:C36"/>
    <mergeCell ref="A1:C1"/>
    <mergeCell ref="A7:C7"/>
    <mergeCell ref="A43:C43"/>
    <mergeCell ref="A44:C44"/>
    <mergeCell ref="A51:C51"/>
  </mergeCells>
  <phoneticPr fontId="3" type="noConversion"/>
  <dataValidations count="4">
    <dataValidation type="list" allowBlank="1" showInputMessage="1" showErrorMessage="1" sqref="B12" xr:uid="{00000000-0002-0000-0200-000000000000}">
      <formula1>" ,Main taxcard (hovedkort),Secondary taxcard (bikort)"</formula1>
    </dataValidation>
    <dataValidation allowBlank="1" showInputMessage="1" showErrorMessage="1" errorTitle="Number" error="Udfyld medarbejdernummer" promptTitle="Nummer" prompt="Udfyld initialer" sqref="B10" xr:uid="{00000000-0002-0000-0200-000001000000}"/>
    <dataValidation type="date" operator="greaterThanOrEqual" showInputMessage="1" showErrorMessage="1" errorTitle="Dato" error="Tast i formatet dd-mm-åååå" promptTitle="Dato" prompt="dd-mm-åååå" sqref="B3" xr:uid="{00000000-0002-0000-0200-000002000000}">
      <formula1>36526</formula1>
    </dataValidation>
    <dataValidation allowBlank="1" sqref="A1:C2" xr:uid="{00000000-0002-0000-0200-000003000000}"/>
  </dataValidations>
  <pageMargins left="0.75" right="0.75" top="1" bottom="1" header="0" footer="0"/>
  <pageSetup scale="87" orientation="portrait" r:id="rId1"/>
  <headerFooter alignWithMargins="0">
    <oddFooter>&amp;R&amp;Z&amp;F
&amp;A&amp;L&amp;1#&amp;"Calibri"&amp;8 Sensitivity: 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3" r:id="rId4" name="Button 5">
              <controlPr defaultSize="0" print="0" autoFill="0" autoPict="0" macro="[0]!Add">
                <anchor moveWithCells="1" sizeWithCells="1">
                  <from>
                    <xdr:col>3</xdr:col>
                    <xdr:colOff>123825</xdr:colOff>
                    <xdr:row>0</xdr:row>
                    <xdr:rowOff>0</xdr:rowOff>
                  </from>
                  <to>
                    <xdr:col>3</xdr:col>
                    <xdr:colOff>847725</xdr:colOff>
                    <xdr:row>60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200-000004000000}">
          <x14:formula1>
            <xm:f>Opslag!$E$2:$E$4</xm:f>
          </x14:formula1>
          <xm:sqref>B5</xm:sqref>
        </x14:dataValidation>
        <x14:dataValidation type="list" allowBlank="1" showInputMessage="1" showErrorMessage="1" xr:uid="{00000000-0002-0000-0200-000005000000}">
          <x14:formula1>
            <xm:f>Opslag!$C$2:$C$4</xm:f>
          </x14:formula1>
          <xm:sqref>B9</xm:sqref>
        </x14:dataValidation>
        <x14:dataValidation type="list" allowBlank="1" showInputMessage="1" showErrorMessage="1" xr:uid="{00000000-0002-0000-0200-000006000000}">
          <x14:formula1>
            <xm:f>Opslag!$B$2:$B$3</xm:f>
          </x14:formula1>
          <xm:sqref>B23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5">
    <pageSetUpPr fitToPage="1"/>
  </sheetPr>
  <dimension ref="A1:M55"/>
  <sheetViews>
    <sheetView tabSelected="1" zoomScale="85" zoomScaleNormal="85" workbookViewId="0">
      <selection activeCell="B23" sqref="B23"/>
    </sheetView>
  </sheetViews>
  <sheetFormatPr defaultColWidth="0" defaultRowHeight="12.75" x14ac:dyDescent="0.2"/>
  <cols>
    <col min="1" max="1" width="41.140625" style="15" customWidth="1"/>
    <col min="2" max="2" width="44.28515625" style="15" customWidth="1"/>
    <col min="3" max="3" width="18.42578125" style="15" bestFit="1" customWidth="1"/>
    <col min="4" max="4" width="14.28515625" style="1" customWidth="1"/>
    <col min="5" max="13" width="0" style="1" hidden="1" customWidth="1"/>
    <col min="14" max="16384" width="7.5703125" style="1" hidden="1"/>
  </cols>
  <sheetData>
    <row r="1" spans="1:4" s="2" customFormat="1" ht="15.75" x14ac:dyDescent="0.25">
      <c r="A1" s="102" t="str">
        <f>IF(B10=0,"Vælg firma i celle E8",B10)</f>
        <v>Vælg firma i celle E8</v>
      </c>
      <c r="B1" s="103"/>
      <c r="C1" s="104"/>
      <c r="D1" s="1"/>
    </row>
    <row r="2" spans="1:4" s="52" customFormat="1" ht="15.75" x14ac:dyDescent="0.25">
      <c r="A2" s="80"/>
      <c r="B2" s="81"/>
      <c r="C2" s="82"/>
      <c r="D2" s="4"/>
    </row>
    <row r="3" spans="1:4" ht="15.75" x14ac:dyDescent="0.25">
      <c r="A3" s="86" t="s">
        <v>700</v>
      </c>
      <c r="B3" s="78"/>
      <c r="C3" s="79"/>
    </row>
    <row r="4" spans="1:4" ht="15.75" x14ac:dyDescent="0.25">
      <c r="A4" s="86" t="s">
        <v>701</v>
      </c>
      <c r="B4" s="78"/>
      <c r="C4" s="79"/>
    </row>
    <row r="5" spans="1:4" x14ac:dyDescent="0.2">
      <c r="A5" s="20"/>
      <c r="B5" s="21"/>
      <c r="C5" s="22"/>
    </row>
    <row r="6" spans="1:4" ht="15.75" x14ac:dyDescent="0.25">
      <c r="A6" s="53" t="s">
        <v>23</v>
      </c>
      <c r="B6" s="40" t="s">
        <v>44</v>
      </c>
      <c r="C6" s="54"/>
    </row>
    <row r="7" spans="1:4" x14ac:dyDescent="0.2">
      <c r="A7" s="20"/>
      <c r="B7" s="21"/>
      <c r="C7" s="22"/>
    </row>
    <row r="8" spans="1:4" x14ac:dyDescent="0.2">
      <c r="A8" s="97" t="s">
        <v>626</v>
      </c>
      <c r="B8" s="98"/>
      <c r="C8" s="99"/>
    </row>
    <row r="9" spans="1:4" x14ac:dyDescent="0.2">
      <c r="A9" s="55"/>
      <c r="B9" s="56"/>
      <c r="C9" s="57"/>
    </row>
    <row r="10" spans="1:4" x14ac:dyDescent="0.2">
      <c r="A10" s="20" t="s">
        <v>696</v>
      </c>
      <c r="B10" s="63"/>
      <c r="C10" s="22"/>
    </row>
    <row r="11" spans="1:4" x14ac:dyDescent="0.2">
      <c r="A11" s="76" t="s">
        <v>694</v>
      </c>
      <c r="B11" s="63"/>
      <c r="C11" s="22"/>
    </row>
    <row r="12" spans="1:4" x14ac:dyDescent="0.2">
      <c r="A12" s="20" t="s">
        <v>689</v>
      </c>
      <c r="B12" s="58"/>
      <c r="C12" s="22"/>
    </row>
    <row r="13" spans="1:4" x14ac:dyDescent="0.2">
      <c r="A13" s="20" t="s">
        <v>24</v>
      </c>
      <c r="B13" s="58"/>
      <c r="C13" s="22"/>
    </row>
    <row r="14" spans="1:4" x14ac:dyDescent="0.2">
      <c r="A14" s="20" t="s">
        <v>690</v>
      </c>
      <c r="B14" s="58"/>
      <c r="C14" s="22"/>
    </row>
    <row r="15" spans="1:4" x14ac:dyDescent="0.2">
      <c r="A15" s="20" t="s">
        <v>691</v>
      </c>
      <c r="B15" s="58"/>
      <c r="C15" s="22"/>
    </row>
    <row r="16" spans="1:4" x14ac:dyDescent="0.2">
      <c r="A16" s="20" t="s">
        <v>692</v>
      </c>
      <c r="B16" s="58"/>
      <c r="C16" s="22"/>
    </row>
    <row r="17" spans="1:4" x14ac:dyDescent="0.2">
      <c r="A17" s="20" t="s">
        <v>693</v>
      </c>
      <c r="B17" s="58"/>
      <c r="C17" s="22"/>
    </row>
    <row r="18" spans="1:4" x14ac:dyDescent="0.2">
      <c r="A18" s="20" t="s">
        <v>26</v>
      </c>
      <c r="B18" s="58"/>
      <c r="C18" s="22"/>
    </row>
    <row r="19" spans="1:4" x14ac:dyDescent="0.2">
      <c r="A19" s="20"/>
      <c r="B19" s="28"/>
      <c r="C19" s="22"/>
    </row>
    <row r="20" spans="1:4" x14ac:dyDescent="0.2">
      <c r="A20" s="97" t="s">
        <v>625</v>
      </c>
      <c r="B20" s="98"/>
      <c r="C20" s="99"/>
    </row>
    <row r="21" spans="1:4" x14ac:dyDescent="0.2">
      <c r="A21" s="55"/>
      <c r="B21" s="56"/>
      <c r="C21" s="57"/>
    </row>
    <row r="22" spans="1:4" x14ac:dyDescent="0.2">
      <c r="A22" s="20" t="s">
        <v>688</v>
      </c>
      <c r="B22" s="37"/>
      <c r="C22" s="22" t="s">
        <v>667</v>
      </c>
    </row>
    <row r="23" spans="1:4" x14ac:dyDescent="0.2">
      <c r="A23" s="83" t="s">
        <v>703</v>
      </c>
      <c r="B23" s="37"/>
      <c r="C23" s="22" t="s">
        <v>702</v>
      </c>
      <c r="D23" s="3"/>
    </row>
    <row r="24" spans="1:4" x14ac:dyDescent="0.2">
      <c r="A24" s="20"/>
      <c r="B24" s="58"/>
      <c r="C24" s="22"/>
      <c r="D24" s="3"/>
    </row>
    <row r="25" spans="1:4" x14ac:dyDescent="0.2">
      <c r="A25" s="97" t="s">
        <v>695</v>
      </c>
      <c r="B25" s="98"/>
      <c r="C25" s="99"/>
      <c r="D25" s="3"/>
    </row>
    <row r="26" spans="1:4" x14ac:dyDescent="0.2">
      <c r="A26" s="62"/>
      <c r="B26" s="21"/>
      <c r="C26" s="22"/>
      <c r="D26" s="3"/>
    </row>
    <row r="27" spans="1:4" x14ac:dyDescent="0.2">
      <c r="A27" s="20" t="s">
        <v>27</v>
      </c>
      <c r="B27" s="58"/>
      <c r="C27" s="22" t="s">
        <v>36</v>
      </c>
      <c r="D27" s="3"/>
    </row>
    <row r="28" spans="1:4" x14ac:dyDescent="0.2">
      <c r="A28" s="20" t="s">
        <v>38</v>
      </c>
      <c r="B28" s="58"/>
      <c r="C28" s="22" t="s">
        <v>37</v>
      </c>
      <c r="D28" s="3"/>
    </row>
    <row r="29" spans="1:4" x14ac:dyDescent="0.2">
      <c r="A29" s="25"/>
      <c r="B29" s="46"/>
      <c r="C29" s="26"/>
      <c r="D29" s="3"/>
    </row>
    <row r="30" spans="1:4" x14ac:dyDescent="0.2">
      <c r="A30" s="29" t="s">
        <v>30</v>
      </c>
      <c r="B30" s="30"/>
      <c r="C30" s="31"/>
      <c r="D30" s="3"/>
    </row>
    <row r="31" spans="1:4" x14ac:dyDescent="0.2">
      <c r="A31" s="60"/>
      <c r="B31" s="61"/>
      <c r="C31" s="32"/>
      <c r="D31" s="3"/>
    </row>
    <row r="32" spans="1:4" ht="24" x14ac:dyDescent="0.2">
      <c r="A32" s="85" t="s">
        <v>704</v>
      </c>
      <c r="B32" s="87"/>
      <c r="C32" s="84" t="s">
        <v>705</v>
      </c>
      <c r="D32" s="3"/>
    </row>
    <row r="33" spans="1:4" x14ac:dyDescent="0.2">
      <c r="A33" s="64"/>
      <c r="B33" s="33"/>
      <c r="C33" s="65"/>
      <c r="D33" s="3"/>
    </row>
    <row r="34" spans="1:4" x14ac:dyDescent="0.2">
      <c r="A34" s="105" t="s">
        <v>21</v>
      </c>
      <c r="B34" s="106"/>
      <c r="C34" s="107"/>
    </row>
    <row r="35" spans="1:4" x14ac:dyDescent="0.2">
      <c r="A35" s="108"/>
      <c r="B35" s="109"/>
      <c r="C35" s="110"/>
    </row>
    <row r="36" spans="1:4" x14ac:dyDescent="0.2">
      <c r="A36" s="71"/>
      <c r="B36" s="72"/>
      <c r="C36" s="73"/>
    </row>
    <row r="37" spans="1:4" x14ac:dyDescent="0.2">
      <c r="A37" s="71"/>
      <c r="B37" s="72"/>
      <c r="C37" s="73"/>
    </row>
    <row r="38" spans="1:4" x14ac:dyDescent="0.2">
      <c r="A38" s="71"/>
      <c r="B38" s="72"/>
      <c r="C38" s="73"/>
    </row>
    <row r="39" spans="1:4" x14ac:dyDescent="0.2">
      <c r="A39" s="71"/>
      <c r="B39" s="72"/>
      <c r="C39" s="73"/>
    </row>
    <row r="40" spans="1:4" x14ac:dyDescent="0.2">
      <c r="A40" s="71"/>
      <c r="B40" s="72"/>
      <c r="C40" s="73"/>
    </row>
    <row r="41" spans="1:4" x14ac:dyDescent="0.2">
      <c r="A41" s="108"/>
      <c r="B41" s="109"/>
      <c r="C41" s="110"/>
    </row>
    <row r="42" spans="1:4" x14ac:dyDescent="0.2">
      <c r="A42" s="71"/>
      <c r="B42" s="72"/>
      <c r="C42" s="73"/>
    </row>
    <row r="43" spans="1:4" x14ac:dyDescent="0.2">
      <c r="A43" s="94"/>
      <c r="B43" s="95"/>
      <c r="C43" s="96"/>
    </row>
    <row r="44" spans="1:4" x14ac:dyDescent="0.2">
      <c r="A44" s="28"/>
      <c r="B44" s="28"/>
      <c r="C44" s="28"/>
    </row>
    <row r="55" spans="1:3" s="4" customFormat="1" x14ac:dyDescent="0.2">
      <c r="A55" s="15"/>
      <c r="B55" s="15"/>
      <c r="C55" s="15"/>
    </row>
  </sheetData>
  <mergeCells count="8">
    <mergeCell ref="A35:C35"/>
    <mergeCell ref="A41:C41"/>
    <mergeCell ref="A43:C43"/>
    <mergeCell ref="A1:C1"/>
    <mergeCell ref="A8:C8"/>
    <mergeCell ref="A20:C20"/>
    <mergeCell ref="A34:C34"/>
    <mergeCell ref="A25:C25"/>
  </mergeCells>
  <dataValidations count="3">
    <dataValidation type="date" operator="greaterThanOrEqual" showInputMessage="1" showErrorMessage="1" errorTitle="Dato" error="Tast i formatet dd-mm-åååå" promptTitle="Dato" prompt="dd-mm-åååå" sqref="B3:B4" xr:uid="{00000000-0002-0000-0300-000000000000}">
      <formula1>36526</formula1>
    </dataValidation>
    <dataValidation type="list" allowBlank="1" showInputMessage="1" showErrorMessage="1" sqref="B18" xr:uid="{00000000-0002-0000-0300-000001000000}">
      <formula1>" ,Main taxcard (hovedkort),Secondary taxcard (bikort)"</formula1>
    </dataValidation>
    <dataValidation allowBlank="1" sqref="A1:C2" xr:uid="{00000000-0002-0000-0300-000002000000}"/>
  </dataValidations>
  <pageMargins left="0.75" right="0.75" top="1" bottom="1" header="0" footer="0"/>
  <pageSetup scale="84" orientation="portrait" horizontalDpi="4294967295" verticalDpi="4294967295" r:id="rId1"/>
  <headerFooter alignWithMargins="0">
    <oddFooter>&amp;R&amp;Z&amp;F
&amp;A&amp;L&amp;1#&amp;"Calibri"&amp;8 Sensitivity: 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Add">
                <anchor moveWithCells="1" sizeWithCells="1">
                  <from>
                    <xdr:col>3</xdr:col>
                    <xdr:colOff>123825</xdr:colOff>
                    <xdr:row>0</xdr:row>
                    <xdr:rowOff>0</xdr:rowOff>
                  </from>
                  <to>
                    <xdr:col>3</xdr:col>
                    <xdr:colOff>847725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3" r:id="rId5" name="Button 7">
              <controlPr defaultSize="0" print="0" autoFill="0" autoPict="0" macro="[0]!Add">
                <anchor moveWithCells="1" sizeWithCells="1">
                  <from>
                    <xdr:col>3</xdr:col>
                    <xdr:colOff>123825</xdr:colOff>
                    <xdr:row>0</xdr:row>
                    <xdr:rowOff>0</xdr:rowOff>
                  </from>
                  <to>
                    <xdr:col>3</xdr:col>
                    <xdr:colOff>847725</xdr:colOff>
                    <xdr:row>54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3000000}">
          <x14:formula1>
            <xm:f>Opslag!$B$2:$B$3</xm:f>
          </x14:formula1>
          <xm:sqref>B24</xm:sqref>
        </x14:dataValidation>
        <x14:dataValidation type="list" allowBlank="1" showInputMessage="1" showErrorMessage="1" xr:uid="{00000000-0002-0000-0300-000004000000}">
          <x14:formula1>
            <xm:f>Opslag!$E$2:$E$4</xm:f>
          </x14:formula1>
          <xm:sqref>B6</xm:sqref>
        </x14:dataValidation>
        <x14:dataValidation type="list" allowBlank="1" showInputMessage="1" showErrorMessage="1" xr:uid="{00000000-0002-0000-0300-000005000000}">
          <x14:formula1>
            <xm:f>Opslag!$Y$2:$Y$4</xm:f>
          </x14:formula1>
          <xm:sqref>B32</xm:sqref>
        </x14:dataValidation>
        <x14:dataValidation type="list" allowBlank="1" showInputMessage="1" showErrorMessage="1" xr:uid="{00000000-0002-0000-0300-000006000000}">
          <x14:formula1>
            <xm:f>Opslag!$Z$2:$Z$3</xm:f>
          </x14:formula1>
          <xm:sqref>B10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C9372B762350D4AA957FBB42907B146" ma:contentTypeVersion="8" ma:contentTypeDescription="Create a new document." ma:contentTypeScope="" ma:versionID="185dd466c769eaea720d86d449aca6e0">
  <xsd:schema xmlns:xsd="http://www.w3.org/2001/XMLSchema" xmlns:xs="http://www.w3.org/2001/XMLSchema" xmlns:p="http://schemas.microsoft.com/office/2006/metadata/properties" xmlns:ns2="5790ff16-9489-43ca-83c1-048af93b3381" xmlns:ns3="45a54477-c8d1-4f8f-8dd6-eb531252fd5b" targetNamespace="http://schemas.microsoft.com/office/2006/metadata/properties" ma:root="true" ma:fieldsID="ebc80090e03c557a608ee5b2798c2da5" ns2:_="" ns3:_="">
    <xsd:import namespace="5790ff16-9489-43ca-83c1-048af93b3381"/>
    <xsd:import namespace="45a54477-c8d1-4f8f-8dd6-eb531252fd5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790ff16-9489-43ca-83c1-048af93b338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5a54477-c8d1-4f8f-8dd6-eb531252fd5b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C1CE415-B795-47EF-BB7E-2A62CCF71D8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CCFC9AB-86EB-413E-AA3A-76354BE3F0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790ff16-9489-43ca-83c1-048af93b3381"/>
    <ds:schemaRef ds:uri="45a54477-c8d1-4f8f-8dd6-eb531252fd5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F1C0420-B232-4A15-9E57-F077AE8C0AF7}">
  <ds:schemaRefs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5790ff16-9489-43ca-83c1-048af93b3381"/>
    <ds:schemaRef ds:uri="http://purl.org/dc/dcmitype/"/>
    <ds:schemaRef ds:uri="http://schemas.microsoft.com/office/2006/metadata/properties"/>
    <ds:schemaRef ds:uri="http://schemas.openxmlformats.org/package/2006/metadata/core-properties"/>
    <ds:schemaRef ds:uri="http://www.w3.org/XML/1998/namespace"/>
    <ds:schemaRef ds:uri="45a54477-c8d1-4f8f-8dd6-eb531252fd5b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Opslag</vt:lpstr>
      <vt:lpstr>Set-up</vt:lpstr>
      <vt:lpstr>Standard</vt:lpstr>
      <vt:lpstr>New Employee</vt:lpstr>
    </vt:vector>
  </TitlesOfParts>
  <Company>Visma Services Danmark A/S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tni</dc:creator>
  <cp:lastModifiedBy>Axel Bøg Andersen</cp:lastModifiedBy>
  <cp:lastPrinted>2018-09-11T05:31:03Z</cp:lastPrinted>
  <dcterms:created xsi:type="dcterms:W3CDTF">2009-09-14T19:27:08Z</dcterms:created>
  <dcterms:modified xsi:type="dcterms:W3CDTF">2021-04-10T12:20:53Z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 description">
    <vt:lpwstr/>
  </property>
  <property fmtid="{D5CDD505-2E9C-101B-9397-08002B2CF9AE}" pid="3" name="ContentType">
    <vt:lpwstr>Document</vt:lpwstr>
  </property>
  <property fmtid="{D5CDD505-2E9C-101B-9397-08002B2CF9AE}" pid="4" name="Language">
    <vt:lpwstr>Danish</vt:lpwstr>
  </property>
  <property fmtid="{D5CDD505-2E9C-101B-9397-08002B2CF9AE}" pid="5" name="MSIP_Label_18450391-6d50-49e0-a466-bfda2ff2a5e1_Enabled">
    <vt:lpwstr>True</vt:lpwstr>
  </property>
  <property fmtid="{D5CDD505-2E9C-101B-9397-08002B2CF9AE}" pid="6" name="MSIP_Label_18450391-6d50-49e0-a466-bfda2ff2a5e1_SiteId">
    <vt:lpwstr>65f51067-7d65-4aa9-b996-4cc43a0d7111</vt:lpwstr>
  </property>
  <property fmtid="{D5CDD505-2E9C-101B-9397-08002B2CF9AE}" pid="7" name="MSIP_Label_18450391-6d50-49e0-a466-bfda2ff2a5e1_Owner">
    <vt:lpwstr>anja.kristiansen@atea.dk</vt:lpwstr>
  </property>
  <property fmtid="{D5CDD505-2E9C-101B-9397-08002B2CF9AE}" pid="8" name="MSIP_Label_18450391-6d50-49e0-a466-bfda2ff2a5e1_SetDate">
    <vt:lpwstr>2018-09-10T08:16:34.6428083Z</vt:lpwstr>
  </property>
  <property fmtid="{D5CDD505-2E9C-101B-9397-08002B2CF9AE}" pid="9" name="MSIP_Label_18450391-6d50-49e0-a466-bfda2ff2a5e1_Name">
    <vt:lpwstr>Internal</vt:lpwstr>
  </property>
  <property fmtid="{D5CDD505-2E9C-101B-9397-08002B2CF9AE}" pid="10" name="MSIP_Label_18450391-6d50-49e0-a466-bfda2ff2a5e1_Application">
    <vt:lpwstr>Microsoft Azure Information Protection</vt:lpwstr>
  </property>
  <property fmtid="{D5CDD505-2E9C-101B-9397-08002B2CF9AE}" pid="11" name="MSIP_Label_18450391-6d50-49e0-a466-bfda2ff2a5e1_Extended_MSFT_Method">
    <vt:lpwstr>Automatic</vt:lpwstr>
  </property>
  <property fmtid="{D5CDD505-2E9C-101B-9397-08002B2CF9AE}" pid="12" name="Sensitivity">
    <vt:lpwstr>Internal</vt:lpwstr>
  </property>
  <property fmtid="{D5CDD505-2E9C-101B-9397-08002B2CF9AE}" pid="13" name="ContentTypeId">
    <vt:lpwstr>0x010100FC9372B762350D4AA957FBB42907B146</vt:lpwstr>
  </property>
</Properties>
</file>